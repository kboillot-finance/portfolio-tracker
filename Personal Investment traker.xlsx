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array.xml" ContentType="application/vnd.ms-excel.rdarray+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02"/>
  <workbookPr defaultThemeVersion="202300"/>
  <mc:AlternateContent xmlns:mc="http://schemas.openxmlformats.org/markup-compatibility/2006">
    <mc:Choice Requires="x15">
      <x15ac:absPath xmlns:x15ac="http://schemas.microsoft.com/office/spreadsheetml/2010/11/ac" url="/Users/karmaboillot/Desktop/FINANCE/"/>
    </mc:Choice>
  </mc:AlternateContent>
  <xr:revisionPtr revIDLastSave="0" documentId="13_ncr:1_{BD137A93-E5F1-C041-9FF2-1178BCD2DD15}" xr6:coauthVersionLast="47" xr6:coauthVersionMax="47" xr10:uidLastSave="{00000000-0000-0000-0000-000000000000}"/>
  <bookViews>
    <workbookView xWindow="0" yWindow="0" windowWidth="28800" windowHeight="18000" xr2:uid="{64943934-42DD-3743-AAD0-A530C8CB7E3D}"/>
  </bookViews>
  <sheets>
    <sheet name="Dashboard" sheetId="1" r:id="rId1"/>
    <sheet name="Ledger"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2" l="1" a="1"/>
  <c r="L3" i="2" s="1"/>
  <c r="K4" i="2" s="1"/>
  <c r="K2" i="1" a="1"/>
  <c r="K2" i="1" s="1"/>
  <c r="G10" i="2"/>
  <c r="G9" i="2"/>
  <c r="G8" i="2"/>
  <c r="G7" i="2"/>
  <c r="G6" i="2"/>
  <c r="G5" i="2"/>
  <c r="G4" i="2"/>
  <c r="G11" i="2"/>
  <c r="G12" i="2"/>
  <c r="G13" i="2"/>
  <c r="G14" i="2"/>
  <c r="G15" i="2"/>
  <c r="G16" i="2"/>
  <c r="G17" i="2"/>
  <c r="G22" i="2"/>
  <c r="H16" i="2"/>
  <c r="B6" i="1" a="1"/>
  <c r="B6" i="1" s="1"/>
  <c r="I4" i="2" a="1"/>
  <c r="I4" i="2" s="1"/>
  <c r="I5" i="2" a="1"/>
  <c r="I5" i="2" s="1"/>
  <c r="I6" i="2" a="1"/>
  <c r="I6" i="2" s="1"/>
  <c r="I7" i="2" a="1"/>
  <c r="I7" i="2" s="1"/>
  <c r="I8" i="2" a="1"/>
  <c r="I8" i="2" s="1"/>
  <c r="I9" i="2" a="1"/>
  <c r="I9" i="2" s="1"/>
  <c r="I10" i="2" a="1"/>
  <c r="I10" i="2" s="1"/>
  <c r="I11" i="2" a="1"/>
  <c r="I11" i="2" s="1"/>
  <c r="I12" i="2" a="1"/>
  <c r="I12" i="2" s="1"/>
  <c r="I13" i="2" a="1"/>
  <c r="I13" i="2" s="1"/>
  <c r="I14" i="2" a="1"/>
  <c r="I14" i="2" s="1"/>
  <c r="I15" i="2" a="1"/>
  <c r="I15" i="2" s="1"/>
  <c r="I16" i="2" a="1"/>
  <c r="I16" i="2" s="1"/>
  <c r="I17" i="2" a="1"/>
  <c r="I17" i="2" s="1"/>
  <c r="I18" i="2" a="1"/>
  <c r="I18" i="2" s="1"/>
  <c r="I19" i="2" a="1"/>
  <c r="I19" i="2" s="1"/>
  <c r="I20" i="2" a="1"/>
  <c r="I20" i="2" s="1"/>
  <c r="I21" i="2" a="1"/>
  <c r="I21" i="2" s="1"/>
  <c r="I22" i="2" a="1"/>
  <c r="I22" i="2" s="1"/>
  <c r="I23" i="2" a="1"/>
  <c r="I23" i="2" s="1"/>
  <c r="A22" i="2"/>
  <c r="A23" i="2"/>
  <c r="A19" i="2"/>
  <c r="A20" i="2"/>
  <c r="A16" i="2"/>
  <c r="A17" i="2"/>
  <c r="A18" i="2"/>
  <c r="A15" i="2"/>
  <c r="A14" i="2"/>
  <c r="A13" i="2"/>
  <c r="A12" i="2"/>
  <c r="A11" i="2"/>
  <c r="A10" i="2"/>
  <c r="A9" i="2"/>
  <c r="A8" i="2"/>
  <c r="A7" i="2"/>
  <c r="A6" i="2"/>
  <c r="A5" i="2"/>
  <c r="A4" i="2"/>
  <c r="M7" i="1" a="1"/>
  <c r="M8" i="1" a="1"/>
  <c r="M9" i="1" a="1"/>
  <c r="M10" i="1" a="1"/>
  <c r="M11" i="1" a="1"/>
  <c r="M5" i="1" a="1"/>
  <c r="M12" i="1" a="1"/>
  <c r="E6" i="1" l="1" a="1"/>
  <c r="D6" i="1" a="1"/>
  <c r="D6" i="1" s="1"/>
  <c r="G20" i="2"/>
  <c r="G21" i="2"/>
  <c r="G23" i="2"/>
  <c r="G18" i="2"/>
  <c r="G19" i="2"/>
  <c r="M12" i="1"/>
  <c r="M11" i="1"/>
  <c r="M9" i="1"/>
  <c r="M10" i="1"/>
  <c r="M8" i="1"/>
  <c r="M7" i="1"/>
  <c r="M5" i="1"/>
  <c r="C6" i="1" a="1"/>
  <c r="C6" i="1" l="1"/>
  <c r="F6" i="1" s="1" a="1"/>
  <c r="F6" i="1" s="1"/>
  <c r="I6" i="1" s="1" a="1"/>
  <c r="I6" i="1" s="1"/>
  <c r="B16" i="1" a="1"/>
  <c r="B16" i="1" s="1"/>
  <c r="E6" i="1"/>
  <c r="H10" i="1" l="1" a="1"/>
  <c r="H10" i="1" s="1"/>
  <c r="I8" i="1" a="1"/>
  <c r="I8" i="1" s="1"/>
  <c r="H8" i="1" a="1"/>
  <c r="H8" i="1" s="1"/>
  <c r="I7" i="1" a="1"/>
  <c r="I7" i="1" s="1"/>
  <c r="H7" i="1" a="1"/>
  <c r="H7" i="1" s="1"/>
  <c r="G6" i="1" a="1"/>
  <c r="G6" i="1" s="1"/>
  <c r="H9" i="1" a="1"/>
  <c r="H9" i="1" s="1"/>
  <c r="I12" i="1" a="1"/>
  <c r="I12" i="1" s="1"/>
  <c r="H6" i="1" a="1"/>
  <c r="H6" i="1" s="1"/>
  <c r="I11" i="1" a="1"/>
  <c r="I11" i="1" s="1"/>
  <c r="H12" i="1" a="1"/>
  <c r="H12" i="1" s="1"/>
  <c r="I10" i="1" a="1"/>
  <c r="I10" i="1" s="1"/>
  <c r="H11" i="1" a="1"/>
  <c r="H11" i="1" s="1"/>
  <c r="I9" i="1" a="1"/>
  <c r="I9" i="1" s="1"/>
  <c r="C16" i="1" l="1" a="1"/>
  <c r="C16" i="1" s="1"/>
  <c r="J6" i="1" a="1"/>
  <c r="J6" i="1" s="1"/>
  <c r="H2" i="1"/>
  <c r="G2" i="1"/>
  <c r="I2" i="1"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925">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bk>
      <extLst>
        <ext uri="{3e2802c4-a4d2-4d8b-9148-e3be6c30e623}">
          <xlrd:rvb i="53"/>
        </ext>
      </extLst>
    </bk>
    <bk>
      <extLst>
        <ext uri="{3e2802c4-a4d2-4d8b-9148-e3be6c30e623}">
          <xlrd:rvb i="54"/>
        </ext>
      </extLst>
    </bk>
    <bk>
      <extLst>
        <ext uri="{3e2802c4-a4d2-4d8b-9148-e3be6c30e623}">
          <xlrd:rvb i="55"/>
        </ext>
      </extLst>
    </bk>
    <bk>
      <extLst>
        <ext uri="{3e2802c4-a4d2-4d8b-9148-e3be6c30e623}">
          <xlrd:rvb i="56"/>
        </ext>
      </extLst>
    </bk>
    <bk>
      <extLst>
        <ext uri="{3e2802c4-a4d2-4d8b-9148-e3be6c30e623}">
          <xlrd:rvb i="57"/>
        </ext>
      </extLst>
    </bk>
    <bk>
      <extLst>
        <ext uri="{3e2802c4-a4d2-4d8b-9148-e3be6c30e623}">
          <xlrd:rvb i="58"/>
        </ext>
      </extLst>
    </bk>
    <bk>
      <extLst>
        <ext uri="{3e2802c4-a4d2-4d8b-9148-e3be6c30e623}">
          <xlrd:rvb i="59"/>
        </ext>
      </extLst>
    </bk>
    <bk>
      <extLst>
        <ext uri="{3e2802c4-a4d2-4d8b-9148-e3be6c30e623}">
          <xlrd:rvb i="60"/>
        </ext>
      </extLst>
    </bk>
    <bk>
      <extLst>
        <ext uri="{3e2802c4-a4d2-4d8b-9148-e3be6c30e623}">
          <xlrd:rvb i="61"/>
        </ext>
      </extLst>
    </bk>
    <bk>
      <extLst>
        <ext uri="{3e2802c4-a4d2-4d8b-9148-e3be6c30e623}">
          <xlrd:rvb i="62"/>
        </ext>
      </extLst>
    </bk>
    <bk>
      <extLst>
        <ext uri="{3e2802c4-a4d2-4d8b-9148-e3be6c30e623}">
          <xlrd:rvb i="63"/>
        </ext>
      </extLst>
    </bk>
    <bk>
      <extLst>
        <ext uri="{3e2802c4-a4d2-4d8b-9148-e3be6c30e623}">
          <xlrd:rvb i="64"/>
        </ext>
      </extLst>
    </bk>
    <bk>
      <extLst>
        <ext uri="{3e2802c4-a4d2-4d8b-9148-e3be6c30e623}">
          <xlrd:rvb i="65"/>
        </ext>
      </extLst>
    </bk>
    <bk>
      <extLst>
        <ext uri="{3e2802c4-a4d2-4d8b-9148-e3be6c30e623}">
          <xlrd:rvb i="66"/>
        </ext>
      </extLst>
    </bk>
    <bk>
      <extLst>
        <ext uri="{3e2802c4-a4d2-4d8b-9148-e3be6c30e623}">
          <xlrd:rvb i="67"/>
        </ext>
      </extLst>
    </bk>
    <bk>
      <extLst>
        <ext uri="{3e2802c4-a4d2-4d8b-9148-e3be6c30e623}">
          <xlrd:rvb i="68"/>
        </ext>
      </extLst>
    </bk>
    <bk>
      <extLst>
        <ext uri="{3e2802c4-a4d2-4d8b-9148-e3be6c30e623}">
          <xlrd:rvb i="69"/>
        </ext>
      </extLst>
    </bk>
    <bk>
      <extLst>
        <ext uri="{3e2802c4-a4d2-4d8b-9148-e3be6c30e623}">
          <xlrd:rvb i="70"/>
        </ext>
      </extLst>
    </bk>
    <bk>
      <extLst>
        <ext uri="{3e2802c4-a4d2-4d8b-9148-e3be6c30e623}">
          <xlrd:rvb i="71"/>
        </ext>
      </extLst>
    </bk>
    <bk>
      <extLst>
        <ext uri="{3e2802c4-a4d2-4d8b-9148-e3be6c30e623}">
          <xlrd:rvb i="72"/>
        </ext>
      </extLst>
    </bk>
    <bk>
      <extLst>
        <ext uri="{3e2802c4-a4d2-4d8b-9148-e3be6c30e623}">
          <xlrd:rvb i="73"/>
        </ext>
      </extLst>
    </bk>
    <bk>
      <extLst>
        <ext uri="{3e2802c4-a4d2-4d8b-9148-e3be6c30e623}">
          <xlrd:rvb i="74"/>
        </ext>
      </extLst>
    </bk>
    <bk>
      <extLst>
        <ext uri="{3e2802c4-a4d2-4d8b-9148-e3be6c30e623}">
          <xlrd:rvb i="75"/>
        </ext>
      </extLst>
    </bk>
    <bk>
      <extLst>
        <ext uri="{3e2802c4-a4d2-4d8b-9148-e3be6c30e623}">
          <xlrd:rvb i="76"/>
        </ext>
      </extLst>
    </bk>
    <bk>
      <extLst>
        <ext uri="{3e2802c4-a4d2-4d8b-9148-e3be6c30e623}">
          <xlrd:rvb i="77"/>
        </ext>
      </extLst>
    </bk>
    <bk>
      <extLst>
        <ext uri="{3e2802c4-a4d2-4d8b-9148-e3be6c30e623}">
          <xlrd:rvb i="78"/>
        </ext>
      </extLst>
    </bk>
    <bk>
      <extLst>
        <ext uri="{3e2802c4-a4d2-4d8b-9148-e3be6c30e623}">
          <xlrd:rvb i="79"/>
        </ext>
      </extLst>
    </bk>
    <bk>
      <extLst>
        <ext uri="{3e2802c4-a4d2-4d8b-9148-e3be6c30e623}">
          <xlrd:rvb i="80"/>
        </ext>
      </extLst>
    </bk>
    <bk>
      <extLst>
        <ext uri="{3e2802c4-a4d2-4d8b-9148-e3be6c30e623}">
          <xlrd:rvb i="81"/>
        </ext>
      </extLst>
    </bk>
    <bk>
      <extLst>
        <ext uri="{3e2802c4-a4d2-4d8b-9148-e3be6c30e623}">
          <xlrd:rvb i="82"/>
        </ext>
      </extLst>
    </bk>
    <bk>
      <extLst>
        <ext uri="{3e2802c4-a4d2-4d8b-9148-e3be6c30e623}">
          <xlrd:rvb i="83"/>
        </ext>
      </extLst>
    </bk>
    <bk>
      <extLst>
        <ext uri="{3e2802c4-a4d2-4d8b-9148-e3be6c30e623}">
          <xlrd:rvb i="84"/>
        </ext>
      </extLst>
    </bk>
    <bk>
      <extLst>
        <ext uri="{3e2802c4-a4d2-4d8b-9148-e3be6c30e623}">
          <xlrd:rvb i="85"/>
        </ext>
      </extLst>
    </bk>
    <bk>
      <extLst>
        <ext uri="{3e2802c4-a4d2-4d8b-9148-e3be6c30e623}">
          <xlrd:rvb i="86"/>
        </ext>
      </extLst>
    </bk>
    <bk>
      <extLst>
        <ext uri="{3e2802c4-a4d2-4d8b-9148-e3be6c30e623}">
          <xlrd:rvb i="87"/>
        </ext>
      </extLst>
    </bk>
    <bk>
      <extLst>
        <ext uri="{3e2802c4-a4d2-4d8b-9148-e3be6c30e623}">
          <xlrd:rvb i="88"/>
        </ext>
      </extLst>
    </bk>
    <bk>
      <extLst>
        <ext uri="{3e2802c4-a4d2-4d8b-9148-e3be6c30e623}">
          <xlrd:rvb i="89"/>
        </ext>
      </extLst>
    </bk>
    <bk>
      <extLst>
        <ext uri="{3e2802c4-a4d2-4d8b-9148-e3be6c30e623}">
          <xlrd:rvb i="90"/>
        </ext>
      </extLst>
    </bk>
    <bk>
      <extLst>
        <ext uri="{3e2802c4-a4d2-4d8b-9148-e3be6c30e623}">
          <xlrd:rvb i="91"/>
        </ext>
      </extLst>
    </bk>
    <bk>
      <extLst>
        <ext uri="{3e2802c4-a4d2-4d8b-9148-e3be6c30e623}">
          <xlrd:rvb i="92"/>
        </ext>
      </extLst>
    </bk>
    <bk>
      <extLst>
        <ext uri="{3e2802c4-a4d2-4d8b-9148-e3be6c30e623}">
          <xlrd:rvb i="93"/>
        </ext>
      </extLst>
    </bk>
    <bk>
      <extLst>
        <ext uri="{3e2802c4-a4d2-4d8b-9148-e3be6c30e623}">
          <xlrd:rvb i="94"/>
        </ext>
      </extLst>
    </bk>
    <bk>
      <extLst>
        <ext uri="{3e2802c4-a4d2-4d8b-9148-e3be6c30e623}">
          <xlrd:rvb i="95"/>
        </ext>
      </extLst>
    </bk>
    <bk>
      <extLst>
        <ext uri="{3e2802c4-a4d2-4d8b-9148-e3be6c30e623}">
          <xlrd:rvb i="96"/>
        </ext>
      </extLst>
    </bk>
    <bk>
      <extLst>
        <ext uri="{3e2802c4-a4d2-4d8b-9148-e3be6c30e623}">
          <xlrd:rvb i="97"/>
        </ext>
      </extLst>
    </bk>
    <bk>
      <extLst>
        <ext uri="{3e2802c4-a4d2-4d8b-9148-e3be6c30e623}">
          <xlrd:rvb i="98"/>
        </ext>
      </extLst>
    </bk>
    <bk>
      <extLst>
        <ext uri="{3e2802c4-a4d2-4d8b-9148-e3be6c30e623}">
          <xlrd:rvb i="99"/>
        </ext>
      </extLst>
    </bk>
    <bk>
      <extLst>
        <ext uri="{3e2802c4-a4d2-4d8b-9148-e3be6c30e623}">
          <xlrd:rvb i="100"/>
        </ext>
      </extLst>
    </bk>
    <bk>
      <extLst>
        <ext uri="{3e2802c4-a4d2-4d8b-9148-e3be6c30e623}">
          <xlrd:rvb i="101"/>
        </ext>
      </extLst>
    </bk>
    <bk>
      <extLst>
        <ext uri="{3e2802c4-a4d2-4d8b-9148-e3be6c30e623}">
          <xlrd:rvb i="102"/>
        </ext>
      </extLst>
    </bk>
    <bk>
      <extLst>
        <ext uri="{3e2802c4-a4d2-4d8b-9148-e3be6c30e623}">
          <xlrd:rvb i="103"/>
        </ext>
      </extLst>
    </bk>
    <bk>
      <extLst>
        <ext uri="{3e2802c4-a4d2-4d8b-9148-e3be6c30e623}">
          <xlrd:rvb i="104"/>
        </ext>
      </extLst>
    </bk>
    <bk>
      <extLst>
        <ext uri="{3e2802c4-a4d2-4d8b-9148-e3be6c30e623}">
          <xlrd:rvb i="105"/>
        </ext>
      </extLst>
    </bk>
    <bk>
      <extLst>
        <ext uri="{3e2802c4-a4d2-4d8b-9148-e3be6c30e623}">
          <xlrd:rvb i="106"/>
        </ext>
      </extLst>
    </bk>
    <bk>
      <extLst>
        <ext uri="{3e2802c4-a4d2-4d8b-9148-e3be6c30e623}">
          <xlrd:rvb i="107"/>
        </ext>
      </extLst>
    </bk>
    <bk>
      <extLst>
        <ext uri="{3e2802c4-a4d2-4d8b-9148-e3be6c30e623}">
          <xlrd:rvb i="108"/>
        </ext>
      </extLst>
    </bk>
    <bk>
      <extLst>
        <ext uri="{3e2802c4-a4d2-4d8b-9148-e3be6c30e623}">
          <xlrd:rvb i="109"/>
        </ext>
      </extLst>
    </bk>
    <bk>
      <extLst>
        <ext uri="{3e2802c4-a4d2-4d8b-9148-e3be6c30e623}">
          <xlrd:rvb i="110"/>
        </ext>
      </extLst>
    </bk>
    <bk>
      <extLst>
        <ext uri="{3e2802c4-a4d2-4d8b-9148-e3be6c30e623}">
          <xlrd:rvb i="111"/>
        </ext>
      </extLst>
    </bk>
    <bk>
      <extLst>
        <ext uri="{3e2802c4-a4d2-4d8b-9148-e3be6c30e623}">
          <xlrd:rvb i="112"/>
        </ext>
      </extLst>
    </bk>
    <bk>
      <extLst>
        <ext uri="{3e2802c4-a4d2-4d8b-9148-e3be6c30e623}">
          <xlrd:rvb i="113"/>
        </ext>
      </extLst>
    </bk>
    <bk>
      <extLst>
        <ext uri="{3e2802c4-a4d2-4d8b-9148-e3be6c30e623}">
          <xlrd:rvb i="114"/>
        </ext>
      </extLst>
    </bk>
    <bk>
      <extLst>
        <ext uri="{3e2802c4-a4d2-4d8b-9148-e3be6c30e623}">
          <xlrd:rvb i="115"/>
        </ext>
      </extLst>
    </bk>
    <bk>
      <extLst>
        <ext uri="{3e2802c4-a4d2-4d8b-9148-e3be6c30e623}">
          <xlrd:rvb i="116"/>
        </ext>
      </extLst>
    </bk>
    <bk>
      <extLst>
        <ext uri="{3e2802c4-a4d2-4d8b-9148-e3be6c30e623}">
          <xlrd:rvb i="117"/>
        </ext>
      </extLst>
    </bk>
    <bk>
      <extLst>
        <ext uri="{3e2802c4-a4d2-4d8b-9148-e3be6c30e623}">
          <xlrd:rvb i="118"/>
        </ext>
      </extLst>
    </bk>
    <bk>
      <extLst>
        <ext uri="{3e2802c4-a4d2-4d8b-9148-e3be6c30e623}">
          <xlrd:rvb i="119"/>
        </ext>
      </extLst>
    </bk>
    <bk>
      <extLst>
        <ext uri="{3e2802c4-a4d2-4d8b-9148-e3be6c30e623}">
          <xlrd:rvb i="120"/>
        </ext>
      </extLst>
    </bk>
    <bk>
      <extLst>
        <ext uri="{3e2802c4-a4d2-4d8b-9148-e3be6c30e623}">
          <xlrd:rvb i="121"/>
        </ext>
      </extLst>
    </bk>
    <bk>
      <extLst>
        <ext uri="{3e2802c4-a4d2-4d8b-9148-e3be6c30e623}">
          <xlrd:rvb i="122"/>
        </ext>
      </extLst>
    </bk>
    <bk>
      <extLst>
        <ext uri="{3e2802c4-a4d2-4d8b-9148-e3be6c30e623}">
          <xlrd:rvb i="123"/>
        </ext>
      </extLst>
    </bk>
    <bk>
      <extLst>
        <ext uri="{3e2802c4-a4d2-4d8b-9148-e3be6c30e623}">
          <xlrd:rvb i="124"/>
        </ext>
      </extLst>
    </bk>
    <bk>
      <extLst>
        <ext uri="{3e2802c4-a4d2-4d8b-9148-e3be6c30e623}">
          <xlrd:rvb i="125"/>
        </ext>
      </extLst>
    </bk>
    <bk>
      <extLst>
        <ext uri="{3e2802c4-a4d2-4d8b-9148-e3be6c30e623}">
          <xlrd:rvb i="126"/>
        </ext>
      </extLst>
    </bk>
    <bk>
      <extLst>
        <ext uri="{3e2802c4-a4d2-4d8b-9148-e3be6c30e623}">
          <xlrd:rvb i="127"/>
        </ext>
      </extLst>
    </bk>
    <bk>
      <extLst>
        <ext uri="{3e2802c4-a4d2-4d8b-9148-e3be6c30e623}">
          <xlrd:rvb i="128"/>
        </ext>
      </extLst>
    </bk>
    <bk>
      <extLst>
        <ext uri="{3e2802c4-a4d2-4d8b-9148-e3be6c30e623}">
          <xlrd:rvb i="129"/>
        </ext>
      </extLst>
    </bk>
    <bk>
      <extLst>
        <ext uri="{3e2802c4-a4d2-4d8b-9148-e3be6c30e623}">
          <xlrd:rvb i="130"/>
        </ext>
      </extLst>
    </bk>
    <bk>
      <extLst>
        <ext uri="{3e2802c4-a4d2-4d8b-9148-e3be6c30e623}">
          <xlrd:rvb i="131"/>
        </ext>
      </extLst>
    </bk>
    <bk>
      <extLst>
        <ext uri="{3e2802c4-a4d2-4d8b-9148-e3be6c30e623}">
          <xlrd:rvb i="132"/>
        </ext>
      </extLst>
    </bk>
    <bk>
      <extLst>
        <ext uri="{3e2802c4-a4d2-4d8b-9148-e3be6c30e623}">
          <xlrd:rvb i="133"/>
        </ext>
      </extLst>
    </bk>
    <bk>
      <extLst>
        <ext uri="{3e2802c4-a4d2-4d8b-9148-e3be6c30e623}">
          <xlrd:rvb i="134"/>
        </ext>
      </extLst>
    </bk>
    <bk>
      <extLst>
        <ext uri="{3e2802c4-a4d2-4d8b-9148-e3be6c30e623}">
          <xlrd:rvb i="135"/>
        </ext>
      </extLst>
    </bk>
    <bk>
      <extLst>
        <ext uri="{3e2802c4-a4d2-4d8b-9148-e3be6c30e623}">
          <xlrd:rvb i="136"/>
        </ext>
      </extLst>
    </bk>
    <bk>
      <extLst>
        <ext uri="{3e2802c4-a4d2-4d8b-9148-e3be6c30e623}">
          <xlrd:rvb i="137"/>
        </ext>
      </extLst>
    </bk>
    <bk>
      <extLst>
        <ext uri="{3e2802c4-a4d2-4d8b-9148-e3be6c30e623}">
          <xlrd:rvb i="138"/>
        </ext>
      </extLst>
    </bk>
    <bk>
      <extLst>
        <ext uri="{3e2802c4-a4d2-4d8b-9148-e3be6c30e623}">
          <xlrd:rvb i="139"/>
        </ext>
      </extLst>
    </bk>
    <bk>
      <extLst>
        <ext uri="{3e2802c4-a4d2-4d8b-9148-e3be6c30e623}">
          <xlrd:rvb i="140"/>
        </ext>
      </extLst>
    </bk>
    <bk>
      <extLst>
        <ext uri="{3e2802c4-a4d2-4d8b-9148-e3be6c30e623}">
          <xlrd:rvb i="141"/>
        </ext>
      </extLst>
    </bk>
    <bk>
      <extLst>
        <ext uri="{3e2802c4-a4d2-4d8b-9148-e3be6c30e623}">
          <xlrd:rvb i="142"/>
        </ext>
      </extLst>
    </bk>
    <bk>
      <extLst>
        <ext uri="{3e2802c4-a4d2-4d8b-9148-e3be6c30e623}">
          <xlrd:rvb i="143"/>
        </ext>
      </extLst>
    </bk>
    <bk>
      <extLst>
        <ext uri="{3e2802c4-a4d2-4d8b-9148-e3be6c30e623}">
          <xlrd:rvb i="144"/>
        </ext>
      </extLst>
    </bk>
    <bk>
      <extLst>
        <ext uri="{3e2802c4-a4d2-4d8b-9148-e3be6c30e623}">
          <xlrd:rvb i="145"/>
        </ext>
      </extLst>
    </bk>
    <bk>
      <extLst>
        <ext uri="{3e2802c4-a4d2-4d8b-9148-e3be6c30e623}">
          <xlrd:rvb i="146"/>
        </ext>
      </extLst>
    </bk>
    <bk>
      <extLst>
        <ext uri="{3e2802c4-a4d2-4d8b-9148-e3be6c30e623}">
          <xlrd:rvb i="147"/>
        </ext>
      </extLst>
    </bk>
    <bk>
      <extLst>
        <ext uri="{3e2802c4-a4d2-4d8b-9148-e3be6c30e623}">
          <xlrd:rvb i="148"/>
        </ext>
      </extLst>
    </bk>
    <bk>
      <extLst>
        <ext uri="{3e2802c4-a4d2-4d8b-9148-e3be6c30e623}">
          <xlrd:rvb i="149"/>
        </ext>
      </extLst>
    </bk>
    <bk>
      <extLst>
        <ext uri="{3e2802c4-a4d2-4d8b-9148-e3be6c30e623}">
          <xlrd:rvb i="150"/>
        </ext>
      </extLst>
    </bk>
    <bk>
      <extLst>
        <ext uri="{3e2802c4-a4d2-4d8b-9148-e3be6c30e623}">
          <xlrd:rvb i="151"/>
        </ext>
      </extLst>
    </bk>
    <bk>
      <extLst>
        <ext uri="{3e2802c4-a4d2-4d8b-9148-e3be6c30e623}">
          <xlrd:rvb i="152"/>
        </ext>
      </extLst>
    </bk>
    <bk>
      <extLst>
        <ext uri="{3e2802c4-a4d2-4d8b-9148-e3be6c30e623}">
          <xlrd:rvb i="153"/>
        </ext>
      </extLst>
    </bk>
    <bk>
      <extLst>
        <ext uri="{3e2802c4-a4d2-4d8b-9148-e3be6c30e623}">
          <xlrd:rvb i="154"/>
        </ext>
      </extLst>
    </bk>
    <bk>
      <extLst>
        <ext uri="{3e2802c4-a4d2-4d8b-9148-e3be6c30e623}">
          <xlrd:rvb i="155"/>
        </ext>
      </extLst>
    </bk>
    <bk>
      <extLst>
        <ext uri="{3e2802c4-a4d2-4d8b-9148-e3be6c30e623}">
          <xlrd:rvb i="156"/>
        </ext>
      </extLst>
    </bk>
    <bk>
      <extLst>
        <ext uri="{3e2802c4-a4d2-4d8b-9148-e3be6c30e623}">
          <xlrd:rvb i="157"/>
        </ext>
      </extLst>
    </bk>
    <bk>
      <extLst>
        <ext uri="{3e2802c4-a4d2-4d8b-9148-e3be6c30e623}">
          <xlrd:rvb i="158"/>
        </ext>
      </extLst>
    </bk>
    <bk>
      <extLst>
        <ext uri="{3e2802c4-a4d2-4d8b-9148-e3be6c30e623}">
          <xlrd:rvb i="159"/>
        </ext>
      </extLst>
    </bk>
    <bk>
      <extLst>
        <ext uri="{3e2802c4-a4d2-4d8b-9148-e3be6c30e623}">
          <xlrd:rvb i="160"/>
        </ext>
      </extLst>
    </bk>
    <bk>
      <extLst>
        <ext uri="{3e2802c4-a4d2-4d8b-9148-e3be6c30e623}">
          <xlrd:rvb i="161"/>
        </ext>
      </extLst>
    </bk>
    <bk>
      <extLst>
        <ext uri="{3e2802c4-a4d2-4d8b-9148-e3be6c30e623}">
          <xlrd:rvb i="162"/>
        </ext>
      </extLst>
    </bk>
    <bk>
      <extLst>
        <ext uri="{3e2802c4-a4d2-4d8b-9148-e3be6c30e623}">
          <xlrd:rvb i="163"/>
        </ext>
      </extLst>
    </bk>
    <bk>
      <extLst>
        <ext uri="{3e2802c4-a4d2-4d8b-9148-e3be6c30e623}">
          <xlrd:rvb i="164"/>
        </ext>
      </extLst>
    </bk>
    <bk>
      <extLst>
        <ext uri="{3e2802c4-a4d2-4d8b-9148-e3be6c30e623}">
          <xlrd:rvb i="165"/>
        </ext>
      </extLst>
    </bk>
    <bk>
      <extLst>
        <ext uri="{3e2802c4-a4d2-4d8b-9148-e3be6c30e623}">
          <xlrd:rvb i="166"/>
        </ext>
      </extLst>
    </bk>
    <bk>
      <extLst>
        <ext uri="{3e2802c4-a4d2-4d8b-9148-e3be6c30e623}">
          <xlrd:rvb i="167"/>
        </ext>
      </extLst>
    </bk>
    <bk>
      <extLst>
        <ext uri="{3e2802c4-a4d2-4d8b-9148-e3be6c30e623}">
          <xlrd:rvb i="168"/>
        </ext>
      </extLst>
    </bk>
    <bk>
      <extLst>
        <ext uri="{3e2802c4-a4d2-4d8b-9148-e3be6c30e623}">
          <xlrd:rvb i="169"/>
        </ext>
      </extLst>
    </bk>
    <bk>
      <extLst>
        <ext uri="{3e2802c4-a4d2-4d8b-9148-e3be6c30e623}">
          <xlrd:rvb i="170"/>
        </ext>
      </extLst>
    </bk>
    <bk>
      <extLst>
        <ext uri="{3e2802c4-a4d2-4d8b-9148-e3be6c30e623}">
          <xlrd:rvb i="171"/>
        </ext>
      </extLst>
    </bk>
    <bk>
      <extLst>
        <ext uri="{3e2802c4-a4d2-4d8b-9148-e3be6c30e623}">
          <xlrd:rvb i="172"/>
        </ext>
      </extLst>
    </bk>
    <bk>
      <extLst>
        <ext uri="{3e2802c4-a4d2-4d8b-9148-e3be6c30e623}">
          <xlrd:rvb i="173"/>
        </ext>
      </extLst>
    </bk>
    <bk>
      <extLst>
        <ext uri="{3e2802c4-a4d2-4d8b-9148-e3be6c30e623}">
          <xlrd:rvb i="174"/>
        </ext>
      </extLst>
    </bk>
    <bk>
      <extLst>
        <ext uri="{3e2802c4-a4d2-4d8b-9148-e3be6c30e623}">
          <xlrd:rvb i="175"/>
        </ext>
      </extLst>
    </bk>
    <bk>
      <extLst>
        <ext uri="{3e2802c4-a4d2-4d8b-9148-e3be6c30e623}">
          <xlrd:rvb i="176"/>
        </ext>
      </extLst>
    </bk>
    <bk>
      <extLst>
        <ext uri="{3e2802c4-a4d2-4d8b-9148-e3be6c30e623}">
          <xlrd:rvb i="177"/>
        </ext>
      </extLst>
    </bk>
    <bk>
      <extLst>
        <ext uri="{3e2802c4-a4d2-4d8b-9148-e3be6c30e623}">
          <xlrd:rvb i="178"/>
        </ext>
      </extLst>
    </bk>
    <bk>
      <extLst>
        <ext uri="{3e2802c4-a4d2-4d8b-9148-e3be6c30e623}">
          <xlrd:rvb i="179"/>
        </ext>
      </extLst>
    </bk>
    <bk>
      <extLst>
        <ext uri="{3e2802c4-a4d2-4d8b-9148-e3be6c30e623}">
          <xlrd:rvb i="180"/>
        </ext>
      </extLst>
    </bk>
    <bk>
      <extLst>
        <ext uri="{3e2802c4-a4d2-4d8b-9148-e3be6c30e623}">
          <xlrd:rvb i="181"/>
        </ext>
      </extLst>
    </bk>
    <bk>
      <extLst>
        <ext uri="{3e2802c4-a4d2-4d8b-9148-e3be6c30e623}">
          <xlrd:rvb i="182"/>
        </ext>
      </extLst>
    </bk>
    <bk>
      <extLst>
        <ext uri="{3e2802c4-a4d2-4d8b-9148-e3be6c30e623}">
          <xlrd:rvb i="183"/>
        </ext>
      </extLst>
    </bk>
    <bk>
      <extLst>
        <ext uri="{3e2802c4-a4d2-4d8b-9148-e3be6c30e623}">
          <xlrd:rvb i="184"/>
        </ext>
      </extLst>
    </bk>
    <bk>
      <extLst>
        <ext uri="{3e2802c4-a4d2-4d8b-9148-e3be6c30e623}">
          <xlrd:rvb i="185"/>
        </ext>
      </extLst>
    </bk>
    <bk>
      <extLst>
        <ext uri="{3e2802c4-a4d2-4d8b-9148-e3be6c30e623}">
          <xlrd:rvb i="186"/>
        </ext>
      </extLst>
    </bk>
    <bk>
      <extLst>
        <ext uri="{3e2802c4-a4d2-4d8b-9148-e3be6c30e623}">
          <xlrd:rvb i="187"/>
        </ext>
      </extLst>
    </bk>
    <bk>
      <extLst>
        <ext uri="{3e2802c4-a4d2-4d8b-9148-e3be6c30e623}">
          <xlrd:rvb i="188"/>
        </ext>
      </extLst>
    </bk>
    <bk>
      <extLst>
        <ext uri="{3e2802c4-a4d2-4d8b-9148-e3be6c30e623}">
          <xlrd:rvb i="189"/>
        </ext>
      </extLst>
    </bk>
    <bk>
      <extLst>
        <ext uri="{3e2802c4-a4d2-4d8b-9148-e3be6c30e623}">
          <xlrd:rvb i="190"/>
        </ext>
      </extLst>
    </bk>
    <bk>
      <extLst>
        <ext uri="{3e2802c4-a4d2-4d8b-9148-e3be6c30e623}">
          <xlrd:rvb i="191"/>
        </ext>
      </extLst>
    </bk>
    <bk>
      <extLst>
        <ext uri="{3e2802c4-a4d2-4d8b-9148-e3be6c30e623}">
          <xlrd:rvb i="192"/>
        </ext>
      </extLst>
    </bk>
    <bk>
      <extLst>
        <ext uri="{3e2802c4-a4d2-4d8b-9148-e3be6c30e623}">
          <xlrd:rvb i="193"/>
        </ext>
      </extLst>
    </bk>
    <bk>
      <extLst>
        <ext uri="{3e2802c4-a4d2-4d8b-9148-e3be6c30e623}">
          <xlrd:rvb i="194"/>
        </ext>
      </extLst>
    </bk>
    <bk>
      <extLst>
        <ext uri="{3e2802c4-a4d2-4d8b-9148-e3be6c30e623}">
          <xlrd:rvb i="195"/>
        </ext>
      </extLst>
    </bk>
    <bk>
      <extLst>
        <ext uri="{3e2802c4-a4d2-4d8b-9148-e3be6c30e623}">
          <xlrd:rvb i="196"/>
        </ext>
      </extLst>
    </bk>
    <bk>
      <extLst>
        <ext uri="{3e2802c4-a4d2-4d8b-9148-e3be6c30e623}">
          <xlrd:rvb i="197"/>
        </ext>
      </extLst>
    </bk>
    <bk>
      <extLst>
        <ext uri="{3e2802c4-a4d2-4d8b-9148-e3be6c30e623}">
          <xlrd:rvb i="198"/>
        </ext>
      </extLst>
    </bk>
    <bk>
      <extLst>
        <ext uri="{3e2802c4-a4d2-4d8b-9148-e3be6c30e623}">
          <xlrd:rvb i="199"/>
        </ext>
      </extLst>
    </bk>
    <bk>
      <extLst>
        <ext uri="{3e2802c4-a4d2-4d8b-9148-e3be6c30e623}">
          <xlrd:rvb i="200"/>
        </ext>
      </extLst>
    </bk>
    <bk>
      <extLst>
        <ext uri="{3e2802c4-a4d2-4d8b-9148-e3be6c30e623}">
          <xlrd:rvb i="201"/>
        </ext>
      </extLst>
    </bk>
    <bk>
      <extLst>
        <ext uri="{3e2802c4-a4d2-4d8b-9148-e3be6c30e623}">
          <xlrd:rvb i="202"/>
        </ext>
      </extLst>
    </bk>
    <bk>
      <extLst>
        <ext uri="{3e2802c4-a4d2-4d8b-9148-e3be6c30e623}">
          <xlrd:rvb i="203"/>
        </ext>
      </extLst>
    </bk>
    <bk>
      <extLst>
        <ext uri="{3e2802c4-a4d2-4d8b-9148-e3be6c30e623}">
          <xlrd:rvb i="204"/>
        </ext>
      </extLst>
    </bk>
    <bk>
      <extLst>
        <ext uri="{3e2802c4-a4d2-4d8b-9148-e3be6c30e623}">
          <xlrd:rvb i="205"/>
        </ext>
      </extLst>
    </bk>
    <bk>
      <extLst>
        <ext uri="{3e2802c4-a4d2-4d8b-9148-e3be6c30e623}">
          <xlrd:rvb i="206"/>
        </ext>
      </extLst>
    </bk>
    <bk>
      <extLst>
        <ext uri="{3e2802c4-a4d2-4d8b-9148-e3be6c30e623}">
          <xlrd:rvb i="207"/>
        </ext>
      </extLst>
    </bk>
    <bk>
      <extLst>
        <ext uri="{3e2802c4-a4d2-4d8b-9148-e3be6c30e623}">
          <xlrd:rvb i="208"/>
        </ext>
      </extLst>
    </bk>
    <bk>
      <extLst>
        <ext uri="{3e2802c4-a4d2-4d8b-9148-e3be6c30e623}">
          <xlrd:rvb i="209"/>
        </ext>
      </extLst>
    </bk>
    <bk>
      <extLst>
        <ext uri="{3e2802c4-a4d2-4d8b-9148-e3be6c30e623}">
          <xlrd:rvb i="210"/>
        </ext>
      </extLst>
    </bk>
    <bk>
      <extLst>
        <ext uri="{3e2802c4-a4d2-4d8b-9148-e3be6c30e623}">
          <xlrd:rvb i="211"/>
        </ext>
      </extLst>
    </bk>
    <bk>
      <extLst>
        <ext uri="{3e2802c4-a4d2-4d8b-9148-e3be6c30e623}">
          <xlrd:rvb i="212"/>
        </ext>
      </extLst>
    </bk>
    <bk>
      <extLst>
        <ext uri="{3e2802c4-a4d2-4d8b-9148-e3be6c30e623}">
          <xlrd:rvb i="213"/>
        </ext>
      </extLst>
    </bk>
    <bk>
      <extLst>
        <ext uri="{3e2802c4-a4d2-4d8b-9148-e3be6c30e623}">
          <xlrd:rvb i="214"/>
        </ext>
      </extLst>
    </bk>
    <bk>
      <extLst>
        <ext uri="{3e2802c4-a4d2-4d8b-9148-e3be6c30e623}">
          <xlrd:rvb i="215"/>
        </ext>
      </extLst>
    </bk>
    <bk>
      <extLst>
        <ext uri="{3e2802c4-a4d2-4d8b-9148-e3be6c30e623}">
          <xlrd:rvb i="216"/>
        </ext>
      </extLst>
    </bk>
    <bk>
      <extLst>
        <ext uri="{3e2802c4-a4d2-4d8b-9148-e3be6c30e623}">
          <xlrd:rvb i="217"/>
        </ext>
      </extLst>
    </bk>
    <bk>
      <extLst>
        <ext uri="{3e2802c4-a4d2-4d8b-9148-e3be6c30e623}">
          <xlrd:rvb i="218"/>
        </ext>
      </extLst>
    </bk>
    <bk>
      <extLst>
        <ext uri="{3e2802c4-a4d2-4d8b-9148-e3be6c30e623}">
          <xlrd:rvb i="219"/>
        </ext>
      </extLst>
    </bk>
    <bk>
      <extLst>
        <ext uri="{3e2802c4-a4d2-4d8b-9148-e3be6c30e623}">
          <xlrd:rvb i="220"/>
        </ext>
      </extLst>
    </bk>
    <bk>
      <extLst>
        <ext uri="{3e2802c4-a4d2-4d8b-9148-e3be6c30e623}">
          <xlrd:rvb i="221"/>
        </ext>
      </extLst>
    </bk>
    <bk>
      <extLst>
        <ext uri="{3e2802c4-a4d2-4d8b-9148-e3be6c30e623}">
          <xlrd:rvb i="222"/>
        </ext>
      </extLst>
    </bk>
    <bk>
      <extLst>
        <ext uri="{3e2802c4-a4d2-4d8b-9148-e3be6c30e623}">
          <xlrd:rvb i="223"/>
        </ext>
      </extLst>
    </bk>
    <bk>
      <extLst>
        <ext uri="{3e2802c4-a4d2-4d8b-9148-e3be6c30e623}">
          <xlrd:rvb i="224"/>
        </ext>
      </extLst>
    </bk>
    <bk>
      <extLst>
        <ext uri="{3e2802c4-a4d2-4d8b-9148-e3be6c30e623}">
          <xlrd:rvb i="225"/>
        </ext>
      </extLst>
    </bk>
    <bk>
      <extLst>
        <ext uri="{3e2802c4-a4d2-4d8b-9148-e3be6c30e623}">
          <xlrd:rvb i="226"/>
        </ext>
      </extLst>
    </bk>
    <bk>
      <extLst>
        <ext uri="{3e2802c4-a4d2-4d8b-9148-e3be6c30e623}">
          <xlrd:rvb i="227"/>
        </ext>
      </extLst>
    </bk>
    <bk>
      <extLst>
        <ext uri="{3e2802c4-a4d2-4d8b-9148-e3be6c30e623}">
          <xlrd:rvb i="228"/>
        </ext>
      </extLst>
    </bk>
    <bk>
      <extLst>
        <ext uri="{3e2802c4-a4d2-4d8b-9148-e3be6c30e623}">
          <xlrd:rvb i="229"/>
        </ext>
      </extLst>
    </bk>
    <bk>
      <extLst>
        <ext uri="{3e2802c4-a4d2-4d8b-9148-e3be6c30e623}">
          <xlrd:rvb i="230"/>
        </ext>
      </extLst>
    </bk>
    <bk>
      <extLst>
        <ext uri="{3e2802c4-a4d2-4d8b-9148-e3be6c30e623}">
          <xlrd:rvb i="231"/>
        </ext>
      </extLst>
    </bk>
    <bk>
      <extLst>
        <ext uri="{3e2802c4-a4d2-4d8b-9148-e3be6c30e623}">
          <xlrd:rvb i="232"/>
        </ext>
      </extLst>
    </bk>
    <bk>
      <extLst>
        <ext uri="{3e2802c4-a4d2-4d8b-9148-e3be6c30e623}">
          <xlrd:rvb i="233"/>
        </ext>
      </extLst>
    </bk>
    <bk>
      <extLst>
        <ext uri="{3e2802c4-a4d2-4d8b-9148-e3be6c30e623}">
          <xlrd:rvb i="234"/>
        </ext>
      </extLst>
    </bk>
    <bk>
      <extLst>
        <ext uri="{3e2802c4-a4d2-4d8b-9148-e3be6c30e623}">
          <xlrd:rvb i="235"/>
        </ext>
      </extLst>
    </bk>
    <bk>
      <extLst>
        <ext uri="{3e2802c4-a4d2-4d8b-9148-e3be6c30e623}">
          <xlrd:rvb i="236"/>
        </ext>
      </extLst>
    </bk>
    <bk>
      <extLst>
        <ext uri="{3e2802c4-a4d2-4d8b-9148-e3be6c30e623}">
          <xlrd:rvb i="237"/>
        </ext>
      </extLst>
    </bk>
    <bk>
      <extLst>
        <ext uri="{3e2802c4-a4d2-4d8b-9148-e3be6c30e623}">
          <xlrd:rvb i="238"/>
        </ext>
      </extLst>
    </bk>
    <bk>
      <extLst>
        <ext uri="{3e2802c4-a4d2-4d8b-9148-e3be6c30e623}">
          <xlrd:rvb i="239"/>
        </ext>
      </extLst>
    </bk>
    <bk>
      <extLst>
        <ext uri="{3e2802c4-a4d2-4d8b-9148-e3be6c30e623}">
          <xlrd:rvb i="240"/>
        </ext>
      </extLst>
    </bk>
    <bk>
      <extLst>
        <ext uri="{3e2802c4-a4d2-4d8b-9148-e3be6c30e623}">
          <xlrd:rvb i="241"/>
        </ext>
      </extLst>
    </bk>
    <bk>
      <extLst>
        <ext uri="{3e2802c4-a4d2-4d8b-9148-e3be6c30e623}">
          <xlrd:rvb i="242"/>
        </ext>
      </extLst>
    </bk>
    <bk>
      <extLst>
        <ext uri="{3e2802c4-a4d2-4d8b-9148-e3be6c30e623}">
          <xlrd:rvb i="243"/>
        </ext>
      </extLst>
    </bk>
    <bk>
      <extLst>
        <ext uri="{3e2802c4-a4d2-4d8b-9148-e3be6c30e623}">
          <xlrd:rvb i="244"/>
        </ext>
      </extLst>
    </bk>
    <bk>
      <extLst>
        <ext uri="{3e2802c4-a4d2-4d8b-9148-e3be6c30e623}">
          <xlrd:rvb i="245"/>
        </ext>
      </extLst>
    </bk>
    <bk>
      <extLst>
        <ext uri="{3e2802c4-a4d2-4d8b-9148-e3be6c30e623}">
          <xlrd:rvb i="246"/>
        </ext>
      </extLst>
    </bk>
    <bk>
      <extLst>
        <ext uri="{3e2802c4-a4d2-4d8b-9148-e3be6c30e623}">
          <xlrd:rvb i="247"/>
        </ext>
      </extLst>
    </bk>
    <bk>
      <extLst>
        <ext uri="{3e2802c4-a4d2-4d8b-9148-e3be6c30e623}">
          <xlrd:rvb i="248"/>
        </ext>
      </extLst>
    </bk>
    <bk>
      <extLst>
        <ext uri="{3e2802c4-a4d2-4d8b-9148-e3be6c30e623}">
          <xlrd:rvb i="249"/>
        </ext>
      </extLst>
    </bk>
    <bk>
      <extLst>
        <ext uri="{3e2802c4-a4d2-4d8b-9148-e3be6c30e623}">
          <xlrd:rvb i="250"/>
        </ext>
      </extLst>
    </bk>
    <bk>
      <extLst>
        <ext uri="{3e2802c4-a4d2-4d8b-9148-e3be6c30e623}">
          <xlrd:rvb i="253"/>
        </ext>
      </extLst>
    </bk>
    <bk>
      <extLst>
        <ext uri="{3e2802c4-a4d2-4d8b-9148-e3be6c30e623}">
          <xlrd:rvb i="254"/>
        </ext>
      </extLst>
    </bk>
    <bk>
      <extLst>
        <ext uri="{3e2802c4-a4d2-4d8b-9148-e3be6c30e623}">
          <xlrd:rvb i="255"/>
        </ext>
      </extLst>
    </bk>
    <bk>
      <extLst>
        <ext uri="{3e2802c4-a4d2-4d8b-9148-e3be6c30e623}">
          <xlrd:rvb i="256"/>
        </ext>
      </extLst>
    </bk>
    <bk>
      <extLst>
        <ext uri="{3e2802c4-a4d2-4d8b-9148-e3be6c30e623}">
          <xlrd:rvb i="257"/>
        </ext>
      </extLst>
    </bk>
    <bk>
      <extLst>
        <ext uri="{3e2802c4-a4d2-4d8b-9148-e3be6c30e623}">
          <xlrd:rvb i="258"/>
        </ext>
      </extLst>
    </bk>
    <bk>
      <extLst>
        <ext uri="{3e2802c4-a4d2-4d8b-9148-e3be6c30e623}">
          <xlrd:rvb i="259"/>
        </ext>
      </extLst>
    </bk>
    <bk>
      <extLst>
        <ext uri="{3e2802c4-a4d2-4d8b-9148-e3be6c30e623}">
          <xlrd:rvb i="260"/>
        </ext>
      </extLst>
    </bk>
    <bk>
      <extLst>
        <ext uri="{3e2802c4-a4d2-4d8b-9148-e3be6c30e623}">
          <xlrd:rvb i="261"/>
        </ext>
      </extLst>
    </bk>
    <bk>
      <extLst>
        <ext uri="{3e2802c4-a4d2-4d8b-9148-e3be6c30e623}">
          <xlrd:rvb i="262"/>
        </ext>
      </extLst>
    </bk>
    <bk>
      <extLst>
        <ext uri="{3e2802c4-a4d2-4d8b-9148-e3be6c30e623}">
          <xlrd:rvb i="263"/>
        </ext>
      </extLst>
    </bk>
    <bk>
      <extLst>
        <ext uri="{3e2802c4-a4d2-4d8b-9148-e3be6c30e623}">
          <xlrd:rvb i="264"/>
        </ext>
      </extLst>
    </bk>
    <bk>
      <extLst>
        <ext uri="{3e2802c4-a4d2-4d8b-9148-e3be6c30e623}">
          <xlrd:rvb i="265"/>
        </ext>
      </extLst>
    </bk>
    <bk>
      <extLst>
        <ext uri="{3e2802c4-a4d2-4d8b-9148-e3be6c30e623}">
          <xlrd:rvb i="266"/>
        </ext>
      </extLst>
    </bk>
    <bk>
      <extLst>
        <ext uri="{3e2802c4-a4d2-4d8b-9148-e3be6c30e623}">
          <xlrd:rvb i="267"/>
        </ext>
      </extLst>
    </bk>
    <bk>
      <extLst>
        <ext uri="{3e2802c4-a4d2-4d8b-9148-e3be6c30e623}">
          <xlrd:rvb i="268"/>
        </ext>
      </extLst>
    </bk>
    <bk>
      <extLst>
        <ext uri="{3e2802c4-a4d2-4d8b-9148-e3be6c30e623}">
          <xlrd:rvb i="269"/>
        </ext>
      </extLst>
    </bk>
    <bk>
      <extLst>
        <ext uri="{3e2802c4-a4d2-4d8b-9148-e3be6c30e623}">
          <xlrd:rvb i="270"/>
        </ext>
      </extLst>
    </bk>
    <bk>
      <extLst>
        <ext uri="{3e2802c4-a4d2-4d8b-9148-e3be6c30e623}">
          <xlrd:rvb i="271"/>
        </ext>
      </extLst>
    </bk>
    <bk>
      <extLst>
        <ext uri="{3e2802c4-a4d2-4d8b-9148-e3be6c30e623}">
          <xlrd:rvb i="272"/>
        </ext>
      </extLst>
    </bk>
    <bk>
      <extLst>
        <ext uri="{3e2802c4-a4d2-4d8b-9148-e3be6c30e623}">
          <xlrd:rvb i="273"/>
        </ext>
      </extLst>
    </bk>
    <bk>
      <extLst>
        <ext uri="{3e2802c4-a4d2-4d8b-9148-e3be6c30e623}">
          <xlrd:rvb i="274"/>
        </ext>
      </extLst>
    </bk>
    <bk>
      <extLst>
        <ext uri="{3e2802c4-a4d2-4d8b-9148-e3be6c30e623}">
          <xlrd:rvb i="275"/>
        </ext>
      </extLst>
    </bk>
    <bk>
      <extLst>
        <ext uri="{3e2802c4-a4d2-4d8b-9148-e3be6c30e623}">
          <xlrd:rvb i="276"/>
        </ext>
      </extLst>
    </bk>
    <bk>
      <extLst>
        <ext uri="{3e2802c4-a4d2-4d8b-9148-e3be6c30e623}">
          <xlrd:rvb i="277"/>
        </ext>
      </extLst>
    </bk>
    <bk>
      <extLst>
        <ext uri="{3e2802c4-a4d2-4d8b-9148-e3be6c30e623}">
          <xlrd:rvb i="278"/>
        </ext>
      </extLst>
    </bk>
    <bk>
      <extLst>
        <ext uri="{3e2802c4-a4d2-4d8b-9148-e3be6c30e623}">
          <xlrd:rvb i="279"/>
        </ext>
      </extLst>
    </bk>
    <bk>
      <extLst>
        <ext uri="{3e2802c4-a4d2-4d8b-9148-e3be6c30e623}">
          <xlrd:rvb i="280"/>
        </ext>
      </extLst>
    </bk>
    <bk>
      <extLst>
        <ext uri="{3e2802c4-a4d2-4d8b-9148-e3be6c30e623}">
          <xlrd:rvb i="281"/>
        </ext>
      </extLst>
    </bk>
    <bk>
      <extLst>
        <ext uri="{3e2802c4-a4d2-4d8b-9148-e3be6c30e623}">
          <xlrd:rvb i="282"/>
        </ext>
      </extLst>
    </bk>
    <bk>
      <extLst>
        <ext uri="{3e2802c4-a4d2-4d8b-9148-e3be6c30e623}">
          <xlrd:rvb i="283"/>
        </ext>
      </extLst>
    </bk>
    <bk>
      <extLst>
        <ext uri="{3e2802c4-a4d2-4d8b-9148-e3be6c30e623}">
          <xlrd:rvb i="284"/>
        </ext>
      </extLst>
    </bk>
    <bk>
      <extLst>
        <ext uri="{3e2802c4-a4d2-4d8b-9148-e3be6c30e623}">
          <xlrd:rvb i="285"/>
        </ext>
      </extLst>
    </bk>
    <bk>
      <extLst>
        <ext uri="{3e2802c4-a4d2-4d8b-9148-e3be6c30e623}">
          <xlrd:rvb i="286"/>
        </ext>
      </extLst>
    </bk>
    <bk>
      <extLst>
        <ext uri="{3e2802c4-a4d2-4d8b-9148-e3be6c30e623}">
          <xlrd:rvb i="287"/>
        </ext>
      </extLst>
    </bk>
    <bk>
      <extLst>
        <ext uri="{3e2802c4-a4d2-4d8b-9148-e3be6c30e623}">
          <xlrd:rvb i="288"/>
        </ext>
      </extLst>
    </bk>
    <bk>
      <extLst>
        <ext uri="{3e2802c4-a4d2-4d8b-9148-e3be6c30e623}">
          <xlrd:rvb i="289"/>
        </ext>
      </extLst>
    </bk>
    <bk>
      <extLst>
        <ext uri="{3e2802c4-a4d2-4d8b-9148-e3be6c30e623}">
          <xlrd:rvb i="290"/>
        </ext>
      </extLst>
    </bk>
    <bk>
      <extLst>
        <ext uri="{3e2802c4-a4d2-4d8b-9148-e3be6c30e623}">
          <xlrd:rvb i="291"/>
        </ext>
      </extLst>
    </bk>
    <bk>
      <extLst>
        <ext uri="{3e2802c4-a4d2-4d8b-9148-e3be6c30e623}">
          <xlrd:rvb i="292"/>
        </ext>
      </extLst>
    </bk>
    <bk>
      <extLst>
        <ext uri="{3e2802c4-a4d2-4d8b-9148-e3be6c30e623}">
          <xlrd:rvb i="293"/>
        </ext>
      </extLst>
    </bk>
    <bk>
      <extLst>
        <ext uri="{3e2802c4-a4d2-4d8b-9148-e3be6c30e623}">
          <xlrd:rvb i="294"/>
        </ext>
      </extLst>
    </bk>
    <bk>
      <extLst>
        <ext uri="{3e2802c4-a4d2-4d8b-9148-e3be6c30e623}">
          <xlrd:rvb i="295"/>
        </ext>
      </extLst>
    </bk>
    <bk>
      <extLst>
        <ext uri="{3e2802c4-a4d2-4d8b-9148-e3be6c30e623}">
          <xlrd:rvb i="296"/>
        </ext>
      </extLst>
    </bk>
    <bk>
      <extLst>
        <ext uri="{3e2802c4-a4d2-4d8b-9148-e3be6c30e623}">
          <xlrd:rvb i="297"/>
        </ext>
      </extLst>
    </bk>
    <bk>
      <extLst>
        <ext uri="{3e2802c4-a4d2-4d8b-9148-e3be6c30e623}">
          <xlrd:rvb i="298"/>
        </ext>
      </extLst>
    </bk>
    <bk>
      <extLst>
        <ext uri="{3e2802c4-a4d2-4d8b-9148-e3be6c30e623}">
          <xlrd:rvb i="299"/>
        </ext>
      </extLst>
    </bk>
    <bk>
      <extLst>
        <ext uri="{3e2802c4-a4d2-4d8b-9148-e3be6c30e623}">
          <xlrd:rvb i="300"/>
        </ext>
      </extLst>
    </bk>
    <bk>
      <extLst>
        <ext uri="{3e2802c4-a4d2-4d8b-9148-e3be6c30e623}">
          <xlrd:rvb i="301"/>
        </ext>
      </extLst>
    </bk>
    <bk>
      <extLst>
        <ext uri="{3e2802c4-a4d2-4d8b-9148-e3be6c30e623}">
          <xlrd:rvb i="302"/>
        </ext>
      </extLst>
    </bk>
    <bk>
      <extLst>
        <ext uri="{3e2802c4-a4d2-4d8b-9148-e3be6c30e623}">
          <xlrd:rvb i="303"/>
        </ext>
      </extLst>
    </bk>
    <bk>
      <extLst>
        <ext uri="{3e2802c4-a4d2-4d8b-9148-e3be6c30e623}">
          <xlrd:rvb i="304"/>
        </ext>
      </extLst>
    </bk>
    <bk>
      <extLst>
        <ext uri="{3e2802c4-a4d2-4d8b-9148-e3be6c30e623}">
          <xlrd:rvb i="305"/>
        </ext>
      </extLst>
    </bk>
    <bk>
      <extLst>
        <ext uri="{3e2802c4-a4d2-4d8b-9148-e3be6c30e623}">
          <xlrd:rvb i="306"/>
        </ext>
      </extLst>
    </bk>
    <bk>
      <extLst>
        <ext uri="{3e2802c4-a4d2-4d8b-9148-e3be6c30e623}">
          <xlrd:rvb i="307"/>
        </ext>
      </extLst>
    </bk>
    <bk>
      <extLst>
        <ext uri="{3e2802c4-a4d2-4d8b-9148-e3be6c30e623}">
          <xlrd:rvb i="308"/>
        </ext>
      </extLst>
    </bk>
    <bk>
      <extLst>
        <ext uri="{3e2802c4-a4d2-4d8b-9148-e3be6c30e623}">
          <xlrd:rvb i="309"/>
        </ext>
      </extLst>
    </bk>
    <bk>
      <extLst>
        <ext uri="{3e2802c4-a4d2-4d8b-9148-e3be6c30e623}">
          <xlrd:rvb i="310"/>
        </ext>
      </extLst>
    </bk>
    <bk>
      <extLst>
        <ext uri="{3e2802c4-a4d2-4d8b-9148-e3be6c30e623}">
          <xlrd:rvb i="311"/>
        </ext>
      </extLst>
    </bk>
    <bk>
      <extLst>
        <ext uri="{3e2802c4-a4d2-4d8b-9148-e3be6c30e623}">
          <xlrd:rvb i="312"/>
        </ext>
      </extLst>
    </bk>
    <bk>
      <extLst>
        <ext uri="{3e2802c4-a4d2-4d8b-9148-e3be6c30e623}">
          <xlrd:rvb i="313"/>
        </ext>
      </extLst>
    </bk>
    <bk>
      <extLst>
        <ext uri="{3e2802c4-a4d2-4d8b-9148-e3be6c30e623}">
          <xlrd:rvb i="314"/>
        </ext>
      </extLst>
    </bk>
    <bk>
      <extLst>
        <ext uri="{3e2802c4-a4d2-4d8b-9148-e3be6c30e623}">
          <xlrd:rvb i="315"/>
        </ext>
      </extLst>
    </bk>
    <bk>
      <extLst>
        <ext uri="{3e2802c4-a4d2-4d8b-9148-e3be6c30e623}">
          <xlrd:rvb i="316"/>
        </ext>
      </extLst>
    </bk>
    <bk>
      <extLst>
        <ext uri="{3e2802c4-a4d2-4d8b-9148-e3be6c30e623}">
          <xlrd:rvb i="317"/>
        </ext>
      </extLst>
    </bk>
    <bk>
      <extLst>
        <ext uri="{3e2802c4-a4d2-4d8b-9148-e3be6c30e623}">
          <xlrd:rvb i="318"/>
        </ext>
      </extLst>
    </bk>
    <bk>
      <extLst>
        <ext uri="{3e2802c4-a4d2-4d8b-9148-e3be6c30e623}">
          <xlrd:rvb i="319"/>
        </ext>
      </extLst>
    </bk>
    <bk>
      <extLst>
        <ext uri="{3e2802c4-a4d2-4d8b-9148-e3be6c30e623}">
          <xlrd:rvb i="320"/>
        </ext>
      </extLst>
    </bk>
    <bk>
      <extLst>
        <ext uri="{3e2802c4-a4d2-4d8b-9148-e3be6c30e623}">
          <xlrd:rvb i="321"/>
        </ext>
      </extLst>
    </bk>
    <bk>
      <extLst>
        <ext uri="{3e2802c4-a4d2-4d8b-9148-e3be6c30e623}">
          <xlrd:rvb i="322"/>
        </ext>
      </extLst>
    </bk>
    <bk>
      <extLst>
        <ext uri="{3e2802c4-a4d2-4d8b-9148-e3be6c30e623}">
          <xlrd:rvb i="323"/>
        </ext>
      </extLst>
    </bk>
    <bk>
      <extLst>
        <ext uri="{3e2802c4-a4d2-4d8b-9148-e3be6c30e623}">
          <xlrd:rvb i="324"/>
        </ext>
      </extLst>
    </bk>
    <bk>
      <extLst>
        <ext uri="{3e2802c4-a4d2-4d8b-9148-e3be6c30e623}">
          <xlrd:rvb i="325"/>
        </ext>
      </extLst>
    </bk>
    <bk>
      <extLst>
        <ext uri="{3e2802c4-a4d2-4d8b-9148-e3be6c30e623}">
          <xlrd:rvb i="326"/>
        </ext>
      </extLst>
    </bk>
    <bk>
      <extLst>
        <ext uri="{3e2802c4-a4d2-4d8b-9148-e3be6c30e623}">
          <xlrd:rvb i="327"/>
        </ext>
      </extLst>
    </bk>
    <bk>
      <extLst>
        <ext uri="{3e2802c4-a4d2-4d8b-9148-e3be6c30e623}">
          <xlrd:rvb i="328"/>
        </ext>
      </extLst>
    </bk>
    <bk>
      <extLst>
        <ext uri="{3e2802c4-a4d2-4d8b-9148-e3be6c30e623}">
          <xlrd:rvb i="329"/>
        </ext>
      </extLst>
    </bk>
    <bk>
      <extLst>
        <ext uri="{3e2802c4-a4d2-4d8b-9148-e3be6c30e623}">
          <xlrd:rvb i="330"/>
        </ext>
      </extLst>
    </bk>
    <bk>
      <extLst>
        <ext uri="{3e2802c4-a4d2-4d8b-9148-e3be6c30e623}">
          <xlrd:rvb i="331"/>
        </ext>
      </extLst>
    </bk>
    <bk>
      <extLst>
        <ext uri="{3e2802c4-a4d2-4d8b-9148-e3be6c30e623}">
          <xlrd:rvb i="332"/>
        </ext>
      </extLst>
    </bk>
    <bk>
      <extLst>
        <ext uri="{3e2802c4-a4d2-4d8b-9148-e3be6c30e623}">
          <xlrd:rvb i="333"/>
        </ext>
      </extLst>
    </bk>
    <bk>
      <extLst>
        <ext uri="{3e2802c4-a4d2-4d8b-9148-e3be6c30e623}">
          <xlrd:rvb i="334"/>
        </ext>
      </extLst>
    </bk>
    <bk>
      <extLst>
        <ext uri="{3e2802c4-a4d2-4d8b-9148-e3be6c30e623}">
          <xlrd:rvb i="335"/>
        </ext>
      </extLst>
    </bk>
    <bk>
      <extLst>
        <ext uri="{3e2802c4-a4d2-4d8b-9148-e3be6c30e623}">
          <xlrd:rvb i="336"/>
        </ext>
      </extLst>
    </bk>
    <bk>
      <extLst>
        <ext uri="{3e2802c4-a4d2-4d8b-9148-e3be6c30e623}">
          <xlrd:rvb i="337"/>
        </ext>
      </extLst>
    </bk>
    <bk>
      <extLst>
        <ext uri="{3e2802c4-a4d2-4d8b-9148-e3be6c30e623}">
          <xlrd:rvb i="338"/>
        </ext>
      </extLst>
    </bk>
    <bk>
      <extLst>
        <ext uri="{3e2802c4-a4d2-4d8b-9148-e3be6c30e623}">
          <xlrd:rvb i="339"/>
        </ext>
      </extLst>
    </bk>
    <bk>
      <extLst>
        <ext uri="{3e2802c4-a4d2-4d8b-9148-e3be6c30e623}">
          <xlrd:rvb i="340"/>
        </ext>
      </extLst>
    </bk>
    <bk>
      <extLst>
        <ext uri="{3e2802c4-a4d2-4d8b-9148-e3be6c30e623}">
          <xlrd:rvb i="341"/>
        </ext>
      </extLst>
    </bk>
    <bk>
      <extLst>
        <ext uri="{3e2802c4-a4d2-4d8b-9148-e3be6c30e623}">
          <xlrd:rvb i="342"/>
        </ext>
      </extLst>
    </bk>
    <bk>
      <extLst>
        <ext uri="{3e2802c4-a4d2-4d8b-9148-e3be6c30e623}">
          <xlrd:rvb i="343"/>
        </ext>
      </extLst>
    </bk>
    <bk>
      <extLst>
        <ext uri="{3e2802c4-a4d2-4d8b-9148-e3be6c30e623}">
          <xlrd:rvb i="344"/>
        </ext>
      </extLst>
    </bk>
    <bk>
      <extLst>
        <ext uri="{3e2802c4-a4d2-4d8b-9148-e3be6c30e623}">
          <xlrd:rvb i="345"/>
        </ext>
      </extLst>
    </bk>
    <bk>
      <extLst>
        <ext uri="{3e2802c4-a4d2-4d8b-9148-e3be6c30e623}">
          <xlrd:rvb i="346"/>
        </ext>
      </extLst>
    </bk>
    <bk>
      <extLst>
        <ext uri="{3e2802c4-a4d2-4d8b-9148-e3be6c30e623}">
          <xlrd:rvb i="347"/>
        </ext>
      </extLst>
    </bk>
    <bk>
      <extLst>
        <ext uri="{3e2802c4-a4d2-4d8b-9148-e3be6c30e623}">
          <xlrd:rvb i="348"/>
        </ext>
      </extLst>
    </bk>
    <bk>
      <extLst>
        <ext uri="{3e2802c4-a4d2-4d8b-9148-e3be6c30e623}">
          <xlrd:rvb i="349"/>
        </ext>
      </extLst>
    </bk>
    <bk>
      <extLst>
        <ext uri="{3e2802c4-a4d2-4d8b-9148-e3be6c30e623}">
          <xlrd:rvb i="350"/>
        </ext>
      </extLst>
    </bk>
    <bk>
      <extLst>
        <ext uri="{3e2802c4-a4d2-4d8b-9148-e3be6c30e623}">
          <xlrd:rvb i="351"/>
        </ext>
      </extLst>
    </bk>
    <bk>
      <extLst>
        <ext uri="{3e2802c4-a4d2-4d8b-9148-e3be6c30e623}">
          <xlrd:rvb i="352"/>
        </ext>
      </extLst>
    </bk>
    <bk>
      <extLst>
        <ext uri="{3e2802c4-a4d2-4d8b-9148-e3be6c30e623}">
          <xlrd:rvb i="353"/>
        </ext>
      </extLst>
    </bk>
    <bk>
      <extLst>
        <ext uri="{3e2802c4-a4d2-4d8b-9148-e3be6c30e623}">
          <xlrd:rvb i="354"/>
        </ext>
      </extLst>
    </bk>
    <bk>
      <extLst>
        <ext uri="{3e2802c4-a4d2-4d8b-9148-e3be6c30e623}">
          <xlrd:rvb i="355"/>
        </ext>
      </extLst>
    </bk>
    <bk>
      <extLst>
        <ext uri="{3e2802c4-a4d2-4d8b-9148-e3be6c30e623}">
          <xlrd:rvb i="356"/>
        </ext>
      </extLst>
    </bk>
    <bk>
      <extLst>
        <ext uri="{3e2802c4-a4d2-4d8b-9148-e3be6c30e623}">
          <xlrd:rvb i="357"/>
        </ext>
      </extLst>
    </bk>
    <bk>
      <extLst>
        <ext uri="{3e2802c4-a4d2-4d8b-9148-e3be6c30e623}">
          <xlrd:rvb i="358"/>
        </ext>
      </extLst>
    </bk>
    <bk>
      <extLst>
        <ext uri="{3e2802c4-a4d2-4d8b-9148-e3be6c30e623}">
          <xlrd:rvb i="359"/>
        </ext>
      </extLst>
    </bk>
    <bk>
      <extLst>
        <ext uri="{3e2802c4-a4d2-4d8b-9148-e3be6c30e623}">
          <xlrd:rvb i="360"/>
        </ext>
      </extLst>
    </bk>
    <bk>
      <extLst>
        <ext uri="{3e2802c4-a4d2-4d8b-9148-e3be6c30e623}">
          <xlrd:rvb i="361"/>
        </ext>
      </extLst>
    </bk>
    <bk>
      <extLst>
        <ext uri="{3e2802c4-a4d2-4d8b-9148-e3be6c30e623}">
          <xlrd:rvb i="362"/>
        </ext>
      </extLst>
    </bk>
    <bk>
      <extLst>
        <ext uri="{3e2802c4-a4d2-4d8b-9148-e3be6c30e623}">
          <xlrd:rvb i="363"/>
        </ext>
      </extLst>
    </bk>
    <bk>
      <extLst>
        <ext uri="{3e2802c4-a4d2-4d8b-9148-e3be6c30e623}">
          <xlrd:rvb i="364"/>
        </ext>
      </extLst>
    </bk>
    <bk>
      <extLst>
        <ext uri="{3e2802c4-a4d2-4d8b-9148-e3be6c30e623}">
          <xlrd:rvb i="365"/>
        </ext>
      </extLst>
    </bk>
    <bk>
      <extLst>
        <ext uri="{3e2802c4-a4d2-4d8b-9148-e3be6c30e623}">
          <xlrd:rvb i="366"/>
        </ext>
      </extLst>
    </bk>
    <bk>
      <extLst>
        <ext uri="{3e2802c4-a4d2-4d8b-9148-e3be6c30e623}">
          <xlrd:rvb i="367"/>
        </ext>
      </extLst>
    </bk>
    <bk>
      <extLst>
        <ext uri="{3e2802c4-a4d2-4d8b-9148-e3be6c30e623}">
          <xlrd:rvb i="368"/>
        </ext>
      </extLst>
    </bk>
    <bk>
      <extLst>
        <ext uri="{3e2802c4-a4d2-4d8b-9148-e3be6c30e623}">
          <xlrd:rvb i="369"/>
        </ext>
      </extLst>
    </bk>
    <bk>
      <extLst>
        <ext uri="{3e2802c4-a4d2-4d8b-9148-e3be6c30e623}">
          <xlrd:rvb i="370"/>
        </ext>
      </extLst>
    </bk>
    <bk>
      <extLst>
        <ext uri="{3e2802c4-a4d2-4d8b-9148-e3be6c30e623}">
          <xlrd:rvb i="371"/>
        </ext>
      </extLst>
    </bk>
    <bk>
      <extLst>
        <ext uri="{3e2802c4-a4d2-4d8b-9148-e3be6c30e623}">
          <xlrd:rvb i="372"/>
        </ext>
      </extLst>
    </bk>
    <bk>
      <extLst>
        <ext uri="{3e2802c4-a4d2-4d8b-9148-e3be6c30e623}">
          <xlrd:rvb i="373"/>
        </ext>
      </extLst>
    </bk>
    <bk>
      <extLst>
        <ext uri="{3e2802c4-a4d2-4d8b-9148-e3be6c30e623}">
          <xlrd:rvb i="374"/>
        </ext>
      </extLst>
    </bk>
    <bk>
      <extLst>
        <ext uri="{3e2802c4-a4d2-4d8b-9148-e3be6c30e623}">
          <xlrd:rvb i="375"/>
        </ext>
      </extLst>
    </bk>
    <bk>
      <extLst>
        <ext uri="{3e2802c4-a4d2-4d8b-9148-e3be6c30e623}">
          <xlrd:rvb i="376"/>
        </ext>
      </extLst>
    </bk>
    <bk>
      <extLst>
        <ext uri="{3e2802c4-a4d2-4d8b-9148-e3be6c30e623}">
          <xlrd:rvb i="377"/>
        </ext>
      </extLst>
    </bk>
    <bk>
      <extLst>
        <ext uri="{3e2802c4-a4d2-4d8b-9148-e3be6c30e623}">
          <xlrd:rvb i="378"/>
        </ext>
      </extLst>
    </bk>
    <bk>
      <extLst>
        <ext uri="{3e2802c4-a4d2-4d8b-9148-e3be6c30e623}">
          <xlrd:rvb i="379"/>
        </ext>
      </extLst>
    </bk>
    <bk>
      <extLst>
        <ext uri="{3e2802c4-a4d2-4d8b-9148-e3be6c30e623}">
          <xlrd:rvb i="380"/>
        </ext>
      </extLst>
    </bk>
    <bk>
      <extLst>
        <ext uri="{3e2802c4-a4d2-4d8b-9148-e3be6c30e623}">
          <xlrd:rvb i="381"/>
        </ext>
      </extLst>
    </bk>
    <bk>
      <extLst>
        <ext uri="{3e2802c4-a4d2-4d8b-9148-e3be6c30e623}">
          <xlrd:rvb i="382"/>
        </ext>
      </extLst>
    </bk>
    <bk>
      <extLst>
        <ext uri="{3e2802c4-a4d2-4d8b-9148-e3be6c30e623}">
          <xlrd:rvb i="383"/>
        </ext>
      </extLst>
    </bk>
    <bk>
      <extLst>
        <ext uri="{3e2802c4-a4d2-4d8b-9148-e3be6c30e623}">
          <xlrd:rvb i="384"/>
        </ext>
      </extLst>
    </bk>
    <bk>
      <extLst>
        <ext uri="{3e2802c4-a4d2-4d8b-9148-e3be6c30e623}">
          <xlrd:rvb i="385"/>
        </ext>
      </extLst>
    </bk>
    <bk>
      <extLst>
        <ext uri="{3e2802c4-a4d2-4d8b-9148-e3be6c30e623}">
          <xlrd:rvb i="386"/>
        </ext>
      </extLst>
    </bk>
    <bk>
      <extLst>
        <ext uri="{3e2802c4-a4d2-4d8b-9148-e3be6c30e623}">
          <xlrd:rvb i="387"/>
        </ext>
      </extLst>
    </bk>
    <bk>
      <extLst>
        <ext uri="{3e2802c4-a4d2-4d8b-9148-e3be6c30e623}">
          <xlrd:rvb i="388"/>
        </ext>
      </extLst>
    </bk>
    <bk>
      <extLst>
        <ext uri="{3e2802c4-a4d2-4d8b-9148-e3be6c30e623}">
          <xlrd:rvb i="389"/>
        </ext>
      </extLst>
    </bk>
    <bk>
      <extLst>
        <ext uri="{3e2802c4-a4d2-4d8b-9148-e3be6c30e623}">
          <xlrd:rvb i="390"/>
        </ext>
      </extLst>
    </bk>
    <bk>
      <extLst>
        <ext uri="{3e2802c4-a4d2-4d8b-9148-e3be6c30e623}">
          <xlrd:rvb i="391"/>
        </ext>
      </extLst>
    </bk>
    <bk>
      <extLst>
        <ext uri="{3e2802c4-a4d2-4d8b-9148-e3be6c30e623}">
          <xlrd:rvb i="392"/>
        </ext>
      </extLst>
    </bk>
    <bk>
      <extLst>
        <ext uri="{3e2802c4-a4d2-4d8b-9148-e3be6c30e623}">
          <xlrd:rvb i="393"/>
        </ext>
      </extLst>
    </bk>
    <bk>
      <extLst>
        <ext uri="{3e2802c4-a4d2-4d8b-9148-e3be6c30e623}">
          <xlrd:rvb i="394"/>
        </ext>
      </extLst>
    </bk>
    <bk>
      <extLst>
        <ext uri="{3e2802c4-a4d2-4d8b-9148-e3be6c30e623}">
          <xlrd:rvb i="395"/>
        </ext>
      </extLst>
    </bk>
    <bk>
      <extLst>
        <ext uri="{3e2802c4-a4d2-4d8b-9148-e3be6c30e623}">
          <xlrd:rvb i="396"/>
        </ext>
      </extLst>
    </bk>
    <bk>
      <extLst>
        <ext uri="{3e2802c4-a4d2-4d8b-9148-e3be6c30e623}">
          <xlrd:rvb i="397"/>
        </ext>
      </extLst>
    </bk>
    <bk>
      <extLst>
        <ext uri="{3e2802c4-a4d2-4d8b-9148-e3be6c30e623}">
          <xlrd:rvb i="398"/>
        </ext>
      </extLst>
    </bk>
    <bk>
      <extLst>
        <ext uri="{3e2802c4-a4d2-4d8b-9148-e3be6c30e623}">
          <xlrd:rvb i="399"/>
        </ext>
      </extLst>
    </bk>
    <bk>
      <extLst>
        <ext uri="{3e2802c4-a4d2-4d8b-9148-e3be6c30e623}">
          <xlrd:rvb i="400"/>
        </ext>
      </extLst>
    </bk>
    <bk>
      <extLst>
        <ext uri="{3e2802c4-a4d2-4d8b-9148-e3be6c30e623}">
          <xlrd:rvb i="401"/>
        </ext>
      </extLst>
    </bk>
    <bk>
      <extLst>
        <ext uri="{3e2802c4-a4d2-4d8b-9148-e3be6c30e623}">
          <xlrd:rvb i="402"/>
        </ext>
      </extLst>
    </bk>
    <bk>
      <extLst>
        <ext uri="{3e2802c4-a4d2-4d8b-9148-e3be6c30e623}">
          <xlrd:rvb i="403"/>
        </ext>
      </extLst>
    </bk>
    <bk>
      <extLst>
        <ext uri="{3e2802c4-a4d2-4d8b-9148-e3be6c30e623}">
          <xlrd:rvb i="404"/>
        </ext>
      </extLst>
    </bk>
    <bk>
      <extLst>
        <ext uri="{3e2802c4-a4d2-4d8b-9148-e3be6c30e623}">
          <xlrd:rvb i="405"/>
        </ext>
      </extLst>
    </bk>
    <bk>
      <extLst>
        <ext uri="{3e2802c4-a4d2-4d8b-9148-e3be6c30e623}">
          <xlrd:rvb i="406"/>
        </ext>
      </extLst>
    </bk>
    <bk>
      <extLst>
        <ext uri="{3e2802c4-a4d2-4d8b-9148-e3be6c30e623}">
          <xlrd:rvb i="407"/>
        </ext>
      </extLst>
    </bk>
    <bk>
      <extLst>
        <ext uri="{3e2802c4-a4d2-4d8b-9148-e3be6c30e623}">
          <xlrd:rvb i="408"/>
        </ext>
      </extLst>
    </bk>
    <bk>
      <extLst>
        <ext uri="{3e2802c4-a4d2-4d8b-9148-e3be6c30e623}">
          <xlrd:rvb i="409"/>
        </ext>
      </extLst>
    </bk>
    <bk>
      <extLst>
        <ext uri="{3e2802c4-a4d2-4d8b-9148-e3be6c30e623}">
          <xlrd:rvb i="410"/>
        </ext>
      </extLst>
    </bk>
    <bk>
      <extLst>
        <ext uri="{3e2802c4-a4d2-4d8b-9148-e3be6c30e623}">
          <xlrd:rvb i="411"/>
        </ext>
      </extLst>
    </bk>
    <bk>
      <extLst>
        <ext uri="{3e2802c4-a4d2-4d8b-9148-e3be6c30e623}">
          <xlrd:rvb i="412"/>
        </ext>
      </extLst>
    </bk>
    <bk>
      <extLst>
        <ext uri="{3e2802c4-a4d2-4d8b-9148-e3be6c30e623}">
          <xlrd:rvb i="413"/>
        </ext>
      </extLst>
    </bk>
    <bk>
      <extLst>
        <ext uri="{3e2802c4-a4d2-4d8b-9148-e3be6c30e623}">
          <xlrd:rvb i="414"/>
        </ext>
      </extLst>
    </bk>
    <bk>
      <extLst>
        <ext uri="{3e2802c4-a4d2-4d8b-9148-e3be6c30e623}">
          <xlrd:rvb i="415"/>
        </ext>
      </extLst>
    </bk>
    <bk>
      <extLst>
        <ext uri="{3e2802c4-a4d2-4d8b-9148-e3be6c30e623}">
          <xlrd:rvb i="416"/>
        </ext>
      </extLst>
    </bk>
    <bk>
      <extLst>
        <ext uri="{3e2802c4-a4d2-4d8b-9148-e3be6c30e623}">
          <xlrd:rvb i="417"/>
        </ext>
      </extLst>
    </bk>
    <bk>
      <extLst>
        <ext uri="{3e2802c4-a4d2-4d8b-9148-e3be6c30e623}">
          <xlrd:rvb i="418"/>
        </ext>
      </extLst>
    </bk>
    <bk>
      <extLst>
        <ext uri="{3e2802c4-a4d2-4d8b-9148-e3be6c30e623}">
          <xlrd:rvb i="419"/>
        </ext>
      </extLst>
    </bk>
    <bk>
      <extLst>
        <ext uri="{3e2802c4-a4d2-4d8b-9148-e3be6c30e623}">
          <xlrd:rvb i="420"/>
        </ext>
      </extLst>
    </bk>
    <bk>
      <extLst>
        <ext uri="{3e2802c4-a4d2-4d8b-9148-e3be6c30e623}">
          <xlrd:rvb i="421"/>
        </ext>
      </extLst>
    </bk>
    <bk>
      <extLst>
        <ext uri="{3e2802c4-a4d2-4d8b-9148-e3be6c30e623}">
          <xlrd:rvb i="422"/>
        </ext>
      </extLst>
    </bk>
    <bk>
      <extLst>
        <ext uri="{3e2802c4-a4d2-4d8b-9148-e3be6c30e623}">
          <xlrd:rvb i="423"/>
        </ext>
      </extLst>
    </bk>
    <bk>
      <extLst>
        <ext uri="{3e2802c4-a4d2-4d8b-9148-e3be6c30e623}">
          <xlrd:rvb i="424"/>
        </ext>
      </extLst>
    </bk>
    <bk>
      <extLst>
        <ext uri="{3e2802c4-a4d2-4d8b-9148-e3be6c30e623}">
          <xlrd:rvb i="425"/>
        </ext>
      </extLst>
    </bk>
    <bk>
      <extLst>
        <ext uri="{3e2802c4-a4d2-4d8b-9148-e3be6c30e623}">
          <xlrd:rvb i="426"/>
        </ext>
      </extLst>
    </bk>
    <bk>
      <extLst>
        <ext uri="{3e2802c4-a4d2-4d8b-9148-e3be6c30e623}">
          <xlrd:rvb i="427"/>
        </ext>
      </extLst>
    </bk>
    <bk>
      <extLst>
        <ext uri="{3e2802c4-a4d2-4d8b-9148-e3be6c30e623}">
          <xlrd:rvb i="428"/>
        </ext>
      </extLst>
    </bk>
    <bk>
      <extLst>
        <ext uri="{3e2802c4-a4d2-4d8b-9148-e3be6c30e623}">
          <xlrd:rvb i="429"/>
        </ext>
      </extLst>
    </bk>
    <bk>
      <extLst>
        <ext uri="{3e2802c4-a4d2-4d8b-9148-e3be6c30e623}">
          <xlrd:rvb i="430"/>
        </ext>
      </extLst>
    </bk>
    <bk>
      <extLst>
        <ext uri="{3e2802c4-a4d2-4d8b-9148-e3be6c30e623}">
          <xlrd:rvb i="431"/>
        </ext>
      </extLst>
    </bk>
    <bk>
      <extLst>
        <ext uri="{3e2802c4-a4d2-4d8b-9148-e3be6c30e623}">
          <xlrd:rvb i="432"/>
        </ext>
      </extLst>
    </bk>
    <bk>
      <extLst>
        <ext uri="{3e2802c4-a4d2-4d8b-9148-e3be6c30e623}">
          <xlrd:rvb i="433"/>
        </ext>
      </extLst>
    </bk>
    <bk>
      <extLst>
        <ext uri="{3e2802c4-a4d2-4d8b-9148-e3be6c30e623}">
          <xlrd:rvb i="434"/>
        </ext>
      </extLst>
    </bk>
    <bk>
      <extLst>
        <ext uri="{3e2802c4-a4d2-4d8b-9148-e3be6c30e623}">
          <xlrd:rvb i="435"/>
        </ext>
      </extLst>
    </bk>
    <bk>
      <extLst>
        <ext uri="{3e2802c4-a4d2-4d8b-9148-e3be6c30e623}">
          <xlrd:rvb i="436"/>
        </ext>
      </extLst>
    </bk>
    <bk>
      <extLst>
        <ext uri="{3e2802c4-a4d2-4d8b-9148-e3be6c30e623}">
          <xlrd:rvb i="437"/>
        </ext>
      </extLst>
    </bk>
    <bk>
      <extLst>
        <ext uri="{3e2802c4-a4d2-4d8b-9148-e3be6c30e623}">
          <xlrd:rvb i="438"/>
        </ext>
      </extLst>
    </bk>
    <bk>
      <extLst>
        <ext uri="{3e2802c4-a4d2-4d8b-9148-e3be6c30e623}">
          <xlrd:rvb i="439"/>
        </ext>
      </extLst>
    </bk>
    <bk>
      <extLst>
        <ext uri="{3e2802c4-a4d2-4d8b-9148-e3be6c30e623}">
          <xlrd:rvb i="440"/>
        </ext>
      </extLst>
    </bk>
    <bk>
      <extLst>
        <ext uri="{3e2802c4-a4d2-4d8b-9148-e3be6c30e623}">
          <xlrd:rvb i="441"/>
        </ext>
      </extLst>
    </bk>
    <bk>
      <extLst>
        <ext uri="{3e2802c4-a4d2-4d8b-9148-e3be6c30e623}">
          <xlrd:rvb i="442"/>
        </ext>
      </extLst>
    </bk>
    <bk>
      <extLst>
        <ext uri="{3e2802c4-a4d2-4d8b-9148-e3be6c30e623}">
          <xlrd:rvb i="443"/>
        </ext>
      </extLst>
    </bk>
    <bk>
      <extLst>
        <ext uri="{3e2802c4-a4d2-4d8b-9148-e3be6c30e623}">
          <xlrd:rvb i="444"/>
        </ext>
      </extLst>
    </bk>
    <bk>
      <extLst>
        <ext uri="{3e2802c4-a4d2-4d8b-9148-e3be6c30e623}">
          <xlrd:rvb i="445"/>
        </ext>
      </extLst>
    </bk>
    <bk>
      <extLst>
        <ext uri="{3e2802c4-a4d2-4d8b-9148-e3be6c30e623}">
          <xlrd:rvb i="446"/>
        </ext>
      </extLst>
    </bk>
    <bk>
      <extLst>
        <ext uri="{3e2802c4-a4d2-4d8b-9148-e3be6c30e623}">
          <xlrd:rvb i="447"/>
        </ext>
      </extLst>
    </bk>
    <bk>
      <extLst>
        <ext uri="{3e2802c4-a4d2-4d8b-9148-e3be6c30e623}">
          <xlrd:rvb i="448"/>
        </ext>
      </extLst>
    </bk>
    <bk>
      <extLst>
        <ext uri="{3e2802c4-a4d2-4d8b-9148-e3be6c30e623}">
          <xlrd:rvb i="449"/>
        </ext>
      </extLst>
    </bk>
    <bk>
      <extLst>
        <ext uri="{3e2802c4-a4d2-4d8b-9148-e3be6c30e623}">
          <xlrd:rvb i="450"/>
        </ext>
      </extLst>
    </bk>
    <bk>
      <extLst>
        <ext uri="{3e2802c4-a4d2-4d8b-9148-e3be6c30e623}">
          <xlrd:rvb i="451"/>
        </ext>
      </extLst>
    </bk>
    <bk>
      <extLst>
        <ext uri="{3e2802c4-a4d2-4d8b-9148-e3be6c30e623}">
          <xlrd:rvb i="452"/>
        </ext>
      </extLst>
    </bk>
    <bk>
      <extLst>
        <ext uri="{3e2802c4-a4d2-4d8b-9148-e3be6c30e623}">
          <xlrd:rvb i="453"/>
        </ext>
      </extLst>
    </bk>
    <bk>
      <extLst>
        <ext uri="{3e2802c4-a4d2-4d8b-9148-e3be6c30e623}">
          <xlrd:rvb i="454"/>
        </ext>
      </extLst>
    </bk>
    <bk>
      <extLst>
        <ext uri="{3e2802c4-a4d2-4d8b-9148-e3be6c30e623}">
          <xlrd:rvb i="455"/>
        </ext>
      </extLst>
    </bk>
    <bk>
      <extLst>
        <ext uri="{3e2802c4-a4d2-4d8b-9148-e3be6c30e623}">
          <xlrd:rvb i="456"/>
        </ext>
      </extLst>
    </bk>
    <bk>
      <extLst>
        <ext uri="{3e2802c4-a4d2-4d8b-9148-e3be6c30e623}">
          <xlrd:rvb i="457"/>
        </ext>
      </extLst>
    </bk>
    <bk>
      <extLst>
        <ext uri="{3e2802c4-a4d2-4d8b-9148-e3be6c30e623}">
          <xlrd:rvb i="458"/>
        </ext>
      </extLst>
    </bk>
    <bk>
      <extLst>
        <ext uri="{3e2802c4-a4d2-4d8b-9148-e3be6c30e623}">
          <xlrd:rvb i="459"/>
        </ext>
      </extLst>
    </bk>
    <bk>
      <extLst>
        <ext uri="{3e2802c4-a4d2-4d8b-9148-e3be6c30e623}">
          <xlrd:rvb i="460"/>
        </ext>
      </extLst>
    </bk>
    <bk>
      <extLst>
        <ext uri="{3e2802c4-a4d2-4d8b-9148-e3be6c30e623}">
          <xlrd:rvb i="461"/>
        </ext>
      </extLst>
    </bk>
    <bk>
      <extLst>
        <ext uri="{3e2802c4-a4d2-4d8b-9148-e3be6c30e623}">
          <xlrd:rvb i="462"/>
        </ext>
      </extLst>
    </bk>
    <bk>
      <extLst>
        <ext uri="{3e2802c4-a4d2-4d8b-9148-e3be6c30e623}">
          <xlrd:rvb i="463"/>
        </ext>
      </extLst>
    </bk>
    <bk>
      <extLst>
        <ext uri="{3e2802c4-a4d2-4d8b-9148-e3be6c30e623}">
          <xlrd:rvb i="464"/>
        </ext>
      </extLst>
    </bk>
    <bk>
      <extLst>
        <ext uri="{3e2802c4-a4d2-4d8b-9148-e3be6c30e623}">
          <xlrd:rvb i="465"/>
        </ext>
      </extLst>
    </bk>
    <bk>
      <extLst>
        <ext uri="{3e2802c4-a4d2-4d8b-9148-e3be6c30e623}">
          <xlrd:rvb i="466"/>
        </ext>
      </extLst>
    </bk>
    <bk>
      <extLst>
        <ext uri="{3e2802c4-a4d2-4d8b-9148-e3be6c30e623}">
          <xlrd:rvb i="467"/>
        </ext>
      </extLst>
    </bk>
    <bk>
      <extLst>
        <ext uri="{3e2802c4-a4d2-4d8b-9148-e3be6c30e623}">
          <xlrd:rvb i="468"/>
        </ext>
      </extLst>
    </bk>
    <bk>
      <extLst>
        <ext uri="{3e2802c4-a4d2-4d8b-9148-e3be6c30e623}">
          <xlrd:rvb i="469"/>
        </ext>
      </extLst>
    </bk>
    <bk>
      <extLst>
        <ext uri="{3e2802c4-a4d2-4d8b-9148-e3be6c30e623}">
          <xlrd:rvb i="470"/>
        </ext>
      </extLst>
    </bk>
    <bk>
      <extLst>
        <ext uri="{3e2802c4-a4d2-4d8b-9148-e3be6c30e623}">
          <xlrd:rvb i="471"/>
        </ext>
      </extLst>
    </bk>
    <bk>
      <extLst>
        <ext uri="{3e2802c4-a4d2-4d8b-9148-e3be6c30e623}">
          <xlrd:rvb i="472"/>
        </ext>
      </extLst>
    </bk>
    <bk>
      <extLst>
        <ext uri="{3e2802c4-a4d2-4d8b-9148-e3be6c30e623}">
          <xlrd:rvb i="473"/>
        </ext>
      </extLst>
    </bk>
    <bk>
      <extLst>
        <ext uri="{3e2802c4-a4d2-4d8b-9148-e3be6c30e623}">
          <xlrd:rvb i="474"/>
        </ext>
      </extLst>
    </bk>
    <bk>
      <extLst>
        <ext uri="{3e2802c4-a4d2-4d8b-9148-e3be6c30e623}">
          <xlrd:rvb i="475"/>
        </ext>
      </extLst>
    </bk>
    <bk>
      <extLst>
        <ext uri="{3e2802c4-a4d2-4d8b-9148-e3be6c30e623}">
          <xlrd:rvb i="476"/>
        </ext>
      </extLst>
    </bk>
    <bk>
      <extLst>
        <ext uri="{3e2802c4-a4d2-4d8b-9148-e3be6c30e623}">
          <xlrd:rvb i="477"/>
        </ext>
      </extLst>
    </bk>
    <bk>
      <extLst>
        <ext uri="{3e2802c4-a4d2-4d8b-9148-e3be6c30e623}">
          <xlrd:rvb i="478"/>
        </ext>
      </extLst>
    </bk>
    <bk>
      <extLst>
        <ext uri="{3e2802c4-a4d2-4d8b-9148-e3be6c30e623}">
          <xlrd:rvb i="479"/>
        </ext>
      </extLst>
    </bk>
    <bk>
      <extLst>
        <ext uri="{3e2802c4-a4d2-4d8b-9148-e3be6c30e623}">
          <xlrd:rvb i="480"/>
        </ext>
      </extLst>
    </bk>
    <bk>
      <extLst>
        <ext uri="{3e2802c4-a4d2-4d8b-9148-e3be6c30e623}">
          <xlrd:rvb i="481"/>
        </ext>
      </extLst>
    </bk>
    <bk>
      <extLst>
        <ext uri="{3e2802c4-a4d2-4d8b-9148-e3be6c30e623}">
          <xlrd:rvb i="482"/>
        </ext>
      </extLst>
    </bk>
    <bk>
      <extLst>
        <ext uri="{3e2802c4-a4d2-4d8b-9148-e3be6c30e623}">
          <xlrd:rvb i="483"/>
        </ext>
      </extLst>
    </bk>
    <bk>
      <extLst>
        <ext uri="{3e2802c4-a4d2-4d8b-9148-e3be6c30e623}">
          <xlrd:rvb i="484"/>
        </ext>
      </extLst>
    </bk>
    <bk>
      <extLst>
        <ext uri="{3e2802c4-a4d2-4d8b-9148-e3be6c30e623}">
          <xlrd:rvb i="485"/>
        </ext>
      </extLst>
    </bk>
    <bk>
      <extLst>
        <ext uri="{3e2802c4-a4d2-4d8b-9148-e3be6c30e623}">
          <xlrd:rvb i="486"/>
        </ext>
      </extLst>
    </bk>
    <bk>
      <extLst>
        <ext uri="{3e2802c4-a4d2-4d8b-9148-e3be6c30e623}">
          <xlrd:rvb i="487"/>
        </ext>
      </extLst>
    </bk>
    <bk>
      <extLst>
        <ext uri="{3e2802c4-a4d2-4d8b-9148-e3be6c30e623}">
          <xlrd:rvb i="488"/>
        </ext>
      </extLst>
    </bk>
    <bk>
      <extLst>
        <ext uri="{3e2802c4-a4d2-4d8b-9148-e3be6c30e623}">
          <xlrd:rvb i="489"/>
        </ext>
      </extLst>
    </bk>
    <bk>
      <extLst>
        <ext uri="{3e2802c4-a4d2-4d8b-9148-e3be6c30e623}">
          <xlrd:rvb i="490"/>
        </ext>
      </extLst>
    </bk>
    <bk>
      <extLst>
        <ext uri="{3e2802c4-a4d2-4d8b-9148-e3be6c30e623}">
          <xlrd:rvb i="491"/>
        </ext>
      </extLst>
    </bk>
    <bk>
      <extLst>
        <ext uri="{3e2802c4-a4d2-4d8b-9148-e3be6c30e623}">
          <xlrd:rvb i="492"/>
        </ext>
      </extLst>
    </bk>
    <bk>
      <extLst>
        <ext uri="{3e2802c4-a4d2-4d8b-9148-e3be6c30e623}">
          <xlrd:rvb i="493"/>
        </ext>
      </extLst>
    </bk>
    <bk>
      <extLst>
        <ext uri="{3e2802c4-a4d2-4d8b-9148-e3be6c30e623}">
          <xlrd:rvb i="494"/>
        </ext>
      </extLst>
    </bk>
    <bk>
      <extLst>
        <ext uri="{3e2802c4-a4d2-4d8b-9148-e3be6c30e623}">
          <xlrd:rvb i="495"/>
        </ext>
      </extLst>
    </bk>
    <bk>
      <extLst>
        <ext uri="{3e2802c4-a4d2-4d8b-9148-e3be6c30e623}">
          <xlrd:rvb i="496"/>
        </ext>
      </extLst>
    </bk>
    <bk>
      <extLst>
        <ext uri="{3e2802c4-a4d2-4d8b-9148-e3be6c30e623}">
          <xlrd:rvb i="497"/>
        </ext>
      </extLst>
    </bk>
    <bk>
      <extLst>
        <ext uri="{3e2802c4-a4d2-4d8b-9148-e3be6c30e623}">
          <xlrd:rvb i="498"/>
        </ext>
      </extLst>
    </bk>
    <bk>
      <extLst>
        <ext uri="{3e2802c4-a4d2-4d8b-9148-e3be6c30e623}">
          <xlrd:rvb i="501"/>
        </ext>
      </extLst>
    </bk>
    <bk>
      <extLst>
        <ext uri="{3e2802c4-a4d2-4d8b-9148-e3be6c30e623}">
          <xlrd:rvb i="502"/>
        </ext>
      </extLst>
    </bk>
    <bk>
      <extLst>
        <ext uri="{3e2802c4-a4d2-4d8b-9148-e3be6c30e623}">
          <xlrd:rvb i="503"/>
        </ext>
      </extLst>
    </bk>
    <bk>
      <extLst>
        <ext uri="{3e2802c4-a4d2-4d8b-9148-e3be6c30e623}">
          <xlrd:rvb i="504"/>
        </ext>
      </extLst>
    </bk>
    <bk>
      <extLst>
        <ext uri="{3e2802c4-a4d2-4d8b-9148-e3be6c30e623}">
          <xlrd:rvb i="505"/>
        </ext>
      </extLst>
    </bk>
    <bk>
      <extLst>
        <ext uri="{3e2802c4-a4d2-4d8b-9148-e3be6c30e623}">
          <xlrd:rvb i="506"/>
        </ext>
      </extLst>
    </bk>
    <bk>
      <extLst>
        <ext uri="{3e2802c4-a4d2-4d8b-9148-e3be6c30e623}">
          <xlrd:rvb i="507"/>
        </ext>
      </extLst>
    </bk>
    <bk>
      <extLst>
        <ext uri="{3e2802c4-a4d2-4d8b-9148-e3be6c30e623}">
          <xlrd:rvb i="508"/>
        </ext>
      </extLst>
    </bk>
    <bk>
      <extLst>
        <ext uri="{3e2802c4-a4d2-4d8b-9148-e3be6c30e623}">
          <xlrd:rvb i="509"/>
        </ext>
      </extLst>
    </bk>
    <bk>
      <extLst>
        <ext uri="{3e2802c4-a4d2-4d8b-9148-e3be6c30e623}">
          <xlrd:rvb i="510"/>
        </ext>
      </extLst>
    </bk>
    <bk>
      <extLst>
        <ext uri="{3e2802c4-a4d2-4d8b-9148-e3be6c30e623}">
          <xlrd:rvb i="511"/>
        </ext>
      </extLst>
    </bk>
    <bk>
      <extLst>
        <ext uri="{3e2802c4-a4d2-4d8b-9148-e3be6c30e623}">
          <xlrd:rvb i="512"/>
        </ext>
      </extLst>
    </bk>
    <bk>
      <extLst>
        <ext uri="{3e2802c4-a4d2-4d8b-9148-e3be6c30e623}">
          <xlrd:rvb i="513"/>
        </ext>
      </extLst>
    </bk>
    <bk>
      <extLst>
        <ext uri="{3e2802c4-a4d2-4d8b-9148-e3be6c30e623}">
          <xlrd:rvb i="514"/>
        </ext>
      </extLst>
    </bk>
    <bk>
      <extLst>
        <ext uri="{3e2802c4-a4d2-4d8b-9148-e3be6c30e623}">
          <xlrd:rvb i="515"/>
        </ext>
      </extLst>
    </bk>
    <bk>
      <extLst>
        <ext uri="{3e2802c4-a4d2-4d8b-9148-e3be6c30e623}">
          <xlrd:rvb i="516"/>
        </ext>
      </extLst>
    </bk>
    <bk>
      <extLst>
        <ext uri="{3e2802c4-a4d2-4d8b-9148-e3be6c30e623}">
          <xlrd:rvb i="517"/>
        </ext>
      </extLst>
    </bk>
    <bk>
      <extLst>
        <ext uri="{3e2802c4-a4d2-4d8b-9148-e3be6c30e623}">
          <xlrd:rvb i="518"/>
        </ext>
      </extLst>
    </bk>
    <bk>
      <extLst>
        <ext uri="{3e2802c4-a4d2-4d8b-9148-e3be6c30e623}">
          <xlrd:rvb i="519"/>
        </ext>
      </extLst>
    </bk>
    <bk>
      <extLst>
        <ext uri="{3e2802c4-a4d2-4d8b-9148-e3be6c30e623}">
          <xlrd:rvb i="520"/>
        </ext>
      </extLst>
    </bk>
    <bk>
      <extLst>
        <ext uri="{3e2802c4-a4d2-4d8b-9148-e3be6c30e623}">
          <xlrd:rvb i="521"/>
        </ext>
      </extLst>
    </bk>
    <bk>
      <extLst>
        <ext uri="{3e2802c4-a4d2-4d8b-9148-e3be6c30e623}">
          <xlrd:rvb i="522"/>
        </ext>
      </extLst>
    </bk>
    <bk>
      <extLst>
        <ext uri="{3e2802c4-a4d2-4d8b-9148-e3be6c30e623}">
          <xlrd:rvb i="523"/>
        </ext>
      </extLst>
    </bk>
    <bk>
      <extLst>
        <ext uri="{3e2802c4-a4d2-4d8b-9148-e3be6c30e623}">
          <xlrd:rvb i="524"/>
        </ext>
      </extLst>
    </bk>
    <bk>
      <extLst>
        <ext uri="{3e2802c4-a4d2-4d8b-9148-e3be6c30e623}">
          <xlrd:rvb i="525"/>
        </ext>
      </extLst>
    </bk>
    <bk>
      <extLst>
        <ext uri="{3e2802c4-a4d2-4d8b-9148-e3be6c30e623}">
          <xlrd:rvb i="526"/>
        </ext>
      </extLst>
    </bk>
    <bk>
      <extLst>
        <ext uri="{3e2802c4-a4d2-4d8b-9148-e3be6c30e623}">
          <xlrd:rvb i="527"/>
        </ext>
      </extLst>
    </bk>
    <bk>
      <extLst>
        <ext uri="{3e2802c4-a4d2-4d8b-9148-e3be6c30e623}">
          <xlrd:rvb i="528"/>
        </ext>
      </extLst>
    </bk>
    <bk>
      <extLst>
        <ext uri="{3e2802c4-a4d2-4d8b-9148-e3be6c30e623}">
          <xlrd:rvb i="529"/>
        </ext>
      </extLst>
    </bk>
    <bk>
      <extLst>
        <ext uri="{3e2802c4-a4d2-4d8b-9148-e3be6c30e623}">
          <xlrd:rvb i="530"/>
        </ext>
      </extLst>
    </bk>
    <bk>
      <extLst>
        <ext uri="{3e2802c4-a4d2-4d8b-9148-e3be6c30e623}">
          <xlrd:rvb i="531"/>
        </ext>
      </extLst>
    </bk>
    <bk>
      <extLst>
        <ext uri="{3e2802c4-a4d2-4d8b-9148-e3be6c30e623}">
          <xlrd:rvb i="532"/>
        </ext>
      </extLst>
    </bk>
    <bk>
      <extLst>
        <ext uri="{3e2802c4-a4d2-4d8b-9148-e3be6c30e623}">
          <xlrd:rvb i="533"/>
        </ext>
      </extLst>
    </bk>
    <bk>
      <extLst>
        <ext uri="{3e2802c4-a4d2-4d8b-9148-e3be6c30e623}">
          <xlrd:rvb i="534"/>
        </ext>
      </extLst>
    </bk>
    <bk>
      <extLst>
        <ext uri="{3e2802c4-a4d2-4d8b-9148-e3be6c30e623}">
          <xlrd:rvb i="535"/>
        </ext>
      </extLst>
    </bk>
    <bk>
      <extLst>
        <ext uri="{3e2802c4-a4d2-4d8b-9148-e3be6c30e623}">
          <xlrd:rvb i="536"/>
        </ext>
      </extLst>
    </bk>
    <bk>
      <extLst>
        <ext uri="{3e2802c4-a4d2-4d8b-9148-e3be6c30e623}">
          <xlrd:rvb i="537"/>
        </ext>
      </extLst>
    </bk>
    <bk>
      <extLst>
        <ext uri="{3e2802c4-a4d2-4d8b-9148-e3be6c30e623}">
          <xlrd:rvb i="538"/>
        </ext>
      </extLst>
    </bk>
    <bk>
      <extLst>
        <ext uri="{3e2802c4-a4d2-4d8b-9148-e3be6c30e623}">
          <xlrd:rvb i="539"/>
        </ext>
      </extLst>
    </bk>
    <bk>
      <extLst>
        <ext uri="{3e2802c4-a4d2-4d8b-9148-e3be6c30e623}">
          <xlrd:rvb i="540"/>
        </ext>
      </extLst>
    </bk>
    <bk>
      <extLst>
        <ext uri="{3e2802c4-a4d2-4d8b-9148-e3be6c30e623}">
          <xlrd:rvb i="541"/>
        </ext>
      </extLst>
    </bk>
    <bk>
      <extLst>
        <ext uri="{3e2802c4-a4d2-4d8b-9148-e3be6c30e623}">
          <xlrd:rvb i="542"/>
        </ext>
      </extLst>
    </bk>
    <bk>
      <extLst>
        <ext uri="{3e2802c4-a4d2-4d8b-9148-e3be6c30e623}">
          <xlrd:rvb i="543"/>
        </ext>
      </extLst>
    </bk>
    <bk>
      <extLst>
        <ext uri="{3e2802c4-a4d2-4d8b-9148-e3be6c30e623}">
          <xlrd:rvb i="544"/>
        </ext>
      </extLst>
    </bk>
    <bk>
      <extLst>
        <ext uri="{3e2802c4-a4d2-4d8b-9148-e3be6c30e623}">
          <xlrd:rvb i="545"/>
        </ext>
      </extLst>
    </bk>
    <bk>
      <extLst>
        <ext uri="{3e2802c4-a4d2-4d8b-9148-e3be6c30e623}">
          <xlrd:rvb i="546"/>
        </ext>
      </extLst>
    </bk>
    <bk>
      <extLst>
        <ext uri="{3e2802c4-a4d2-4d8b-9148-e3be6c30e623}">
          <xlrd:rvb i="547"/>
        </ext>
      </extLst>
    </bk>
    <bk>
      <extLst>
        <ext uri="{3e2802c4-a4d2-4d8b-9148-e3be6c30e623}">
          <xlrd:rvb i="548"/>
        </ext>
      </extLst>
    </bk>
    <bk>
      <extLst>
        <ext uri="{3e2802c4-a4d2-4d8b-9148-e3be6c30e623}">
          <xlrd:rvb i="549"/>
        </ext>
      </extLst>
    </bk>
    <bk>
      <extLst>
        <ext uri="{3e2802c4-a4d2-4d8b-9148-e3be6c30e623}">
          <xlrd:rvb i="550"/>
        </ext>
      </extLst>
    </bk>
    <bk>
      <extLst>
        <ext uri="{3e2802c4-a4d2-4d8b-9148-e3be6c30e623}">
          <xlrd:rvb i="551"/>
        </ext>
      </extLst>
    </bk>
    <bk>
      <extLst>
        <ext uri="{3e2802c4-a4d2-4d8b-9148-e3be6c30e623}">
          <xlrd:rvb i="552"/>
        </ext>
      </extLst>
    </bk>
    <bk>
      <extLst>
        <ext uri="{3e2802c4-a4d2-4d8b-9148-e3be6c30e623}">
          <xlrd:rvb i="553"/>
        </ext>
      </extLst>
    </bk>
    <bk>
      <extLst>
        <ext uri="{3e2802c4-a4d2-4d8b-9148-e3be6c30e623}">
          <xlrd:rvb i="554"/>
        </ext>
      </extLst>
    </bk>
    <bk>
      <extLst>
        <ext uri="{3e2802c4-a4d2-4d8b-9148-e3be6c30e623}">
          <xlrd:rvb i="555"/>
        </ext>
      </extLst>
    </bk>
    <bk>
      <extLst>
        <ext uri="{3e2802c4-a4d2-4d8b-9148-e3be6c30e623}">
          <xlrd:rvb i="556"/>
        </ext>
      </extLst>
    </bk>
    <bk>
      <extLst>
        <ext uri="{3e2802c4-a4d2-4d8b-9148-e3be6c30e623}">
          <xlrd:rvb i="557"/>
        </ext>
      </extLst>
    </bk>
    <bk>
      <extLst>
        <ext uri="{3e2802c4-a4d2-4d8b-9148-e3be6c30e623}">
          <xlrd:rvb i="558"/>
        </ext>
      </extLst>
    </bk>
    <bk>
      <extLst>
        <ext uri="{3e2802c4-a4d2-4d8b-9148-e3be6c30e623}">
          <xlrd:rvb i="559"/>
        </ext>
      </extLst>
    </bk>
    <bk>
      <extLst>
        <ext uri="{3e2802c4-a4d2-4d8b-9148-e3be6c30e623}">
          <xlrd:rvb i="560"/>
        </ext>
      </extLst>
    </bk>
    <bk>
      <extLst>
        <ext uri="{3e2802c4-a4d2-4d8b-9148-e3be6c30e623}">
          <xlrd:rvb i="561"/>
        </ext>
      </extLst>
    </bk>
    <bk>
      <extLst>
        <ext uri="{3e2802c4-a4d2-4d8b-9148-e3be6c30e623}">
          <xlrd:rvb i="562"/>
        </ext>
      </extLst>
    </bk>
    <bk>
      <extLst>
        <ext uri="{3e2802c4-a4d2-4d8b-9148-e3be6c30e623}">
          <xlrd:rvb i="563"/>
        </ext>
      </extLst>
    </bk>
    <bk>
      <extLst>
        <ext uri="{3e2802c4-a4d2-4d8b-9148-e3be6c30e623}">
          <xlrd:rvb i="564"/>
        </ext>
      </extLst>
    </bk>
    <bk>
      <extLst>
        <ext uri="{3e2802c4-a4d2-4d8b-9148-e3be6c30e623}">
          <xlrd:rvb i="565"/>
        </ext>
      </extLst>
    </bk>
    <bk>
      <extLst>
        <ext uri="{3e2802c4-a4d2-4d8b-9148-e3be6c30e623}">
          <xlrd:rvb i="566"/>
        </ext>
      </extLst>
    </bk>
    <bk>
      <extLst>
        <ext uri="{3e2802c4-a4d2-4d8b-9148-e3be6c30e623}">
          <xlrd:rvb i="567"/>
        </ext>
      </extLst>
    </bk>
    <bk>
      <extLst>
        <ext uri="{3e2802c4-a4d2-4d8b-9148-e3be6c30e623}">
          <xlrd:rvb i="568"/>
        </ext>
      </extLst>
    </bk>
    <bk>
      <extLst>
        <ext uri="{3e2802c4-a4d2-4d8b-9148-e3be6c30e623}">
          <xlrd:rvb i="569"/>
        </ext>
      </extLst>
    </bk>
    <bk>
      <extLst>
        <ext uri="{3e2802c4-a4d2-4d8b-9148-e3be6c30e623}">
          <xlrd:rvb i="570"/>
        </ext>
      </extLst>
    </bk>
    <bk>
      <extLst>
        <ext uri="{3e2802c4-a4d2-4d8b-9148-e3be6c30e623}">
          <xlrd:rvb i="571"/>
        </ext>
      </extLst>
    </bk>
    <bk>
      <extLst>
        <ext uri="{3e2802c4-a4d2-4d8b-9148-e3be6c30e623}">
          <xlrd:rvb i="572"/>
        </ext>
      </extLst>
    </bk>
    <bk>
      <extLst>
        <ext uri="{3e2802c4-a4d2-4d8b-9148-e3be6c30e623}">
          <xlrd:rvb i="573"/>
        </ext>
      </extLst>
    </bk>
    <bk>
      <extLst>
        <ext uri="{3e2802c4-a4d2-4d8b-9148-e3be6c30e623}">
          <xlrd:rvb i="574"/>
        </ext>
      </extLst>
    </bk>
    <bk>
      <extLst>
        <ext uri="{3e2802c4-a4d2-4d8b-9148-e3be6c30e623}">
          <xlrd:rvb i="575"/>
        </ext>
      </extLst>
    </bk>
    <bk>
      <extLst>
        <ext uri="{3e2802c4-a4d2-4d8b-9148-e3be6c30e623}">
          <xlrd:rvb i="576"/>
        </ext>
      </extLst>
    </bk>
    <bk>
      <extLst>
        <ext uri="{3e2802c4-a4d2-4d8b-9148-e3be6c30e623}">
          <xlrd:rvb i="577"/>
        </ext>
      </extLst>
    </bk>
    <bk>
      <extLst>
        <ext uri="{3e2802c4-a4d2-4d8b-9148-e3be6c30e623}">
          <xlrd:rvb i="578"/>
        </ext>
      </extLst>
    </bk>
    <bk>
      <extLst>
        <ext uri="{3e2802c4-a4d2-4d8b-9148-e3be6c30e623}">
          <xlrd:rvb i="579"/>
        </ext>
      </extLst>
    </bk>
    <bk>
      <extLst>
        <ext uri="{3e2802c4-a4d2-4d8b-9148-e3be6c30e623}">
          <xlrd:rvb i="580"/>
        </ext>
      </extLst>
    </bk>
    <bk>
      <extLst>
        <ext uri="{3e2802c4-a4d2-4d8b-9148-e3be6c30e623}">
          <xlrd:rvb i="581"/>
        </ext>
      </extLst>
    </bk>
    <bk>
      <extLst>
        <ext uri="{3e2802c4-a4d2-4d8b-9148-e3be6c30e623}">
          <xlrd:rvb i="582"/>
        </ext>
      </extLst>
    </bk>
    <bk>
      <extLst>
        <ext uri="{3e2802c4-a4d2-4d8b-9148-e3be6c30e623}">
          <xlrd:rvb i="583"/>
        </ext>
      </extLst>
    </bk>
    <bk>
      <extLst>
        <ext uri="{3e2802c4-a4d2-4d8b-9148-e3be6c30e623}">
          <xlrd:rvb i="584"/>
        </ext>
      </extLst>
    </bk>
    <bk>
      <extLst>
        <ext uri="{3e2802c4-a4d2-4d8b-9148-e3be6c30e623}">
          <xlrd:rvb i="585"/>
        </ext>
      </extLst>
    </bk>
    <bk>
      <extLst>
        <ext uri="{3e2802c4-a4d2-4d8b-9148-e3be6c30e623}">
          <xlrd:rvb i="586"/>
        </ext>
      </extLst>
    </bk>
    <bk>
      <extLst>
        <ext uri="{3e2802c4-a4d2-4d8b-9148-e3be6c30e623}">
          <xlrd:rvb i="587"/>
        </ext>
      </extLst>
    </bk>
    <bk>
      <extLst>
        <ext uri="{3e2802c4-a4d2-4d8b-9148-e3be6c30e623}">
          <xlrd:rvb i="588"/>
        </ext>
      </extLst>
    </bk>
    <bk>
      <extLst>
        <ext uri="{3e2802c4-a4d2-4d8b-9148-e3be6c30e623}">
          <xlrd:rvb i="589"/>
        </ext>
      </extLst>
    </bk>
    <bk>
      <extLst>
        <ext uri="{3e2802c4-a4d2-4d8b-9148-e3be6c30e623}">
          <xlrd:rvb i="590"/>
        </ext>
      </extLst>
    </bk>
    <bk>
      <extLst>
        <ext uri="{3e2802c4-a4d2-4d8b-9148-e3be6c30e623}">
          <xlrd:rvb i="591"/>
        </ext>
      </extLst>
    </bk>
    <bk>
      <extLst>
        <ext uri="{3e2802c4-a4d2-4d8b-9148-e3be6c30e623}">
          <xlrd:rvb i="592"/>
        </ext>
      </extLst>
    </bk>
    <bk>
      <extLst>
        <ext uri="{3e2802c4-a4d2-4d8b-9148-e3be6c30e623}">
          <xlrd:rvb i="593"/>
        </ext>
      </extLst>
    </bk>
    <bk>
      <extLst>
        <ext uri="{3e2802c4-a4d2-4d8b-9148-e3be6c30e623}">
          <xlrd:rvb i="594"/>
        </ext>
      </extLst>
    </bk>
    <bk>
      <extLst>
        <ext uri="{3e2802c4-a4d2-4d8b-9148-e3be6c30e623}">
          <xlrd:rvb i="595"/>
        </ext>
      </extLst>
    </bk>
    <bk>
      <extLst>
        <ext uri="{3e2802c4-a4d2-4d8b-9148-e3be6c30e623}">
          <xlrd:rvb i="596"/>
        </ext>
      </extLst>
    </bk>
    <bk>
      <extLst>
        <ext uri="{3e2802c4-a4d2-4d8b-9148-e3be6c30e623}">
          <xlrd:rvb i="597"/>
        </ext>
      </extLst>
    </bk>
    <bk>
      <extLst>
        <ext uri="{3e2802c4-a4d2-4d8b-9148-e3be6c30e623}">
          <xlrd:rvb i="598"/>
        </ext>
      </extLst>
    </bk>
    <bk>
      <extLst>
        <ext uri="{3e2802c4-a4d2-4d8b-9148-e3be6c30e623}">
          <xlrd:rvb i="599"/>
        </ext>
      </extLst>
    </bk>
    <bk>
      <extLst>
        <ext uri="{3e2802c4-a4d2-4d8b-9148-e3be6c30e623}">
          <xlrd:rvb i="600"/>
        </ext>
      </extLst>
    </bk>
    <bk>
      <extLst>
        <ext uri="{3e2802c4-a4d2-4d8b-9148-e3be6c30e623}">
          <xlrd:rvb i="601"/>
        </ext>
      </extLst>
    </bk>
    <bk>
      <extLst>
        <ext uri="{3e2802c4-a4d2-4d8b-9148-e3be6c30e623}">
          <xlrd:rvb i="602"/>
        </ext>
      </extLst>
    </bk>
    <bk>
      <extLst>
        <ext uri="{3e2802c4-a4d2-4d8b-9148-e3be6c30e623}">
          <xlrd:rvb i="603"/>
        </ext>
      </extLst>
    </bk>
    <bk>
      <extLst>
        <ext uri="{3e2802c4-a4d2-4d8b-9148-e3be6c30e623}">
          <xlrd:rvb i="604"/>
        </ext>
      </extLst>
    </bk>
    <bk>
      <extLst>
        <ext uri="{3e2802c4-a4d2-4d8b-9148-e3be6c30e623}">
          <xlrd:rvb i="605"/>
        </ext>
      </extLst>
    </bk>
    <bk>
      <extLst>
        <ext uri="{3e2802c4-a4d2-4d8b-9148-e3be6c30e623}">
          <xlrd:rvb i="606"/>
        </ext>
      </extLst>
    </bk>
    <bk>
      <extLst>
        <ext uri="{3e2802c4-a4d2-4d8b-9148-e3be6c30e623}">
          <xlrd:rvb i="607"/>
        </ext>
      </extLst>
    </bk>
    <bk>
      <extLst>
        <ext uri="{3e2802c4-a4d2-4d8b-9148-e3be6c30e623}">
          <xlrd:rvb i="608"/>
        </ext>
      </extLst>
    </bk>
    <bk>
      <extLst>
        <ext uri="{3e2802c4-a4d2-4d8b-9148-e3be6c30e623}">
          <xlrd:rvb i="609"/>
        </ext>
      </extLst>
    </bk>
    <bk>
      <extLst>
        <ext uri="{3e2802c4-a4d2-4d8b-9148-e3be6c30e623}">
          <xlrd:rvb i="610"/>
        </ext>
      </extLst>
    </bk>
    <bk>
      <extLst>
        <ext uri="{3e2802c4-a4d2-4d8b-9148-e3be6c30e623}">
          <xlrd:rvb i="611"/>
        </ext>
      </extLst>
    </bk>
    <bk>
      <extLst>
        <ext uri="{3e2802c4-a4d2-4d8b-9148-e3be6c30e623}">
          <xlrd:rvb i="612"/>
        </ext>
      </extLst>
    </bk>
    <bk>
      <extLst>
        <ext uri="{3e2802c4-a4d2-4d8b-9148-e3be6c30e623}">
          <xlrd:rvb i="613"/>
        </ext>
      </extLst>
    </bk>
    <bk>
      <extLst>
        <ext uri="{3e2802c4-a4d2-4d8b-9148-e3be6c30e623}">
          <xlrd:rvb i="614"/>
        </ext>
      </extLst>
    </bk>
    <bk>
      <extLst>
        <ext uri="{3e2802c4-a4d2-4d8b-9148-e3be6c30e623}">
          <xlrd:rvb i="615"/>
        </ext>
      </extLst>
    </bk>
    <bk>
      <extLst>
        <ext uri="{3e2802c4-a4d2-4d8b-9148-e3be6c30e623}">
          <xlrd:rvb i="616"/>
        </ext>
      </extLst>
    </bk>
    <bk>
      <extLst>
        <ext uri="{3e2802c4-a4d2-4d8b-9148-e3be6c30e623}">
          <xlrd:rvb i="617"/>
        </ext>
      </extLst>
    </bk>
    <bk>
      <extLst>
        <ext uri="{3e2802c4-a4d2-4d8b-9148-e3be6c30e623}">
          <xlrd:rvb i="618"/>
        </ext>
      </extLst>
    </bk>
    <bk>
      <extLst>
        <ext uri="{3e2802c4-a4d2-4d8b-9148-e3be6c30e623}">
          <xlrd:rvb i="619"/>
        </ext>
      </extLst>
    </bk>
    <bk>
      <extLst>
        <ext uri="{3e2802c4-a4d2-4d8b-9148-e3be6c30e623}">
          <xlrd:rvb i="620"/>
        </ext>
      </extLst>
    </bk>
    <bk>
      <extLst>
        <ext uri="{3e2802c4-a4d2-4d8b-9148-e3be6c30e623}">
          <xlrd:rvb i="621"/>
        </ext>
      </extLst>
    </bk>
    <bk>
      <extLst>
        <ext uri="{3e2802c4-a4d2-4d8b-9148-e3be6c30e623}">
          <xlrd:rvb i="622"/>
        </ext>
      </extLst>
    </bk>
    <bk>
      <extLst>
        <ext uri="{3e2802c4-a4d2-4d8b-9148-e3be6c30e623}">
          <xlrd:rvb i="623"/>
        </ext>
      </extLst>
    </bk>
    <bk>
      <extLst>
        <ext uri="{3e2802c4-a4d2-4d8b-9148-e3be6c30e623}">
          <xlrd:rvb i="624"/>
        </ext>
      </extLst>
    </bk>
    <bk>
      <extLst>
        <ext uri="{3e2802c4-a4d2-4d8b-9148-e3be6c30e623}">
          <xlrd:rvb i="625"/>
        </ext>
      </extLst>
    </bk>
    <bk>
      <extLst>
        <ext uri="{3e2802c4-a4d2-4d8b-9148-e3be6c30e623}">
          <xlrd:rvb i="626"/>
        </ext>
      </extLst>
    </bk>
    <bk>
      <extLst>
        <ext uri="{3e2802c4-a4d2-4d8b-9148-e3be6c30e623}">
          <xlrd:rvb i="627"/>
        </ext>
      </extLst>
    </bk>
    <bk>
      <extLst>
        <ext uri="{3e2802c4-a4d2-4d8b-9148-e3be6c30e623}">
          <xlrd:rvb i="628"/>
        </ext>
      </extLst>
    </bk>
    <bk>
      <extLst>
        <ext uri="{3e2802c4-a4d2-4d8b-9148-e3be6c30e623}">
          <xlrd:rvb i="629"/>
        </ext>
      </extLst>
    </bk>
    <bk>
      <extLst>
        <ext uri="{3e2802c4-a4d2-4d8b-9148-e3be6c30e623}">
          <xlrd:rvb i="630"/>
        </ext>
      </extLst>
    </bk>
    <bk>
      <extLst>
        <ext uri="{3e2802c4-a4d2-4d8b-9148-e3be6c30e623}">
          <xlrd:rvb i="631"/>
        </ext>
      </extLst>
    </bk>
    <bk>
      <extLst>
        <ext uri="{3e2802c4-a4d2-4d8b-9148-e3be6c30e623}">
          <xlrd:rvb i="632"/>
        </ext>
      </extLst>
    </bk>
    <bk>
      <extLst>
        <ext uri="{3e2802c4-a4d2-4d8b-9148-e3be6c30e623}">
          <xlrd:rvb i="633"/>
        </ext>
      </extLst>
    </bk>
    <bk>
      <extLst>
        <ext uri="{3e2802c4-a4d2-4d8b-9148-e3be6c30e623}">
          <xlrd:rvb i="634"/>
        </ext>
      </extLst>
    </bk>
    <bk>
      <extLst>
        <ext uri="{3e2802c4-a4d2-4d8b-9148-e3be6c30e623}">
          <xlrd:rvb i="635"/>
        </ext>
      </extLst>
    </bk>
    <bk>
      <extLst>
        <ext uri="{3e2802c4-a4d2-4d8b-9148-e3be6c30e623}">
          <xlrd:rvb i="636"/>
        </ext>
      </extLst>
    </bk>
    <bk>
      <extLst>
        <ext uri="{3e2802c4-a4d2-4d8b-9148-e3be6c30e623}">
          <xlrd:rvb i="637"/>
        </ext>
      </extLst>
    </bk>
    <bk>
      <extLst>
        <ext uri="{3e2802c4-a4d2-4d8b-9148-e3be6c30e623}">
          <xlrd:rvb i="638"/>
        </ext>
      </extLst>
    </bk>
    <bk>
      <extLst>
        <ext uri="{3e2802c4-a4d2-4d8b-9148-e3be6c30e623}">
          <xlrd:rvb i="639"/>
        </ext>
      </extLst>
    </bk>
    <bk>
      <extLst>
        <ext uri="{3e2802c4-a4d2-4d8b-9148-e3be6c30e623}">
          <xlrd:rvb i="640"/>
        </ext>
      </extLst>
    </bk>
    <bk>
      <extLst>
        <ext uri="{3e2802c4-a4d2-4d8b-9148-e3be6c30e623}">
          <xlrd:rvb i="641"/>
        </ext>
      </extLst>
    </bk>
    <bk>
      <extLst>
        <ext uri="{3e2802c4-a4d2-4d8b-9148-e3be6c30e623}">
          <xlrd:rvb i="642"/>
        </ext>
      </extLst>
    </bk>
    <bk>
      <extLst>
        <ext uri="{3e2802c4-a4d2-4d8b-9148-e3be6c30e623}">
          <xlrd:rvb i="643"/>
        </ext>
      </extLst>
    </bk>
    <bk>
      <extLst>
        <ext uri="{3e2802c4-a4d2-4d8b-9148-e3be6c30e623}">
          <xlrd:rvb i="644"/>
        </ext>
      </extLst>
    </bk>
    <bk>
      <extLst>
        <ext uri="{3e2802c4-a4d2-4d8b-9148-e3be6c30e623}">
          <xlrd:rvb i="645"/>
        </ext>
      </extLst>
    </bk>
    <bk>
      <extLst>
        <ext uri="{3e2802c4-a4d2-4d8b-9148-e3be6c30e623}">
          <xlrd:rvb i="646"/>
        </ext>
      </extLst>
    </bk>
    <bk>
      <extLst>
        <ext uri="{3e2802c4-a4d2-4d8b-9148-e3be6c30e623}">
          <xlrd:rvb i="647"/>
        </ext>
      </extLst>
    </bk>
    <bk>
      <extLst>
        <ext uri="{3e2802c4-a4d2-4d8b-9148-e3be6c30e623}">
          <xlrd:rvb i="648"/>
        </ext>
      </extLst>
    </bk>
    <bk>
      <extLst>
        <ext uri="{3e2802c4-a4d2-4d8b-9148-e3be6c30e623}">
          <xlrd:rvb i="649"/>
        </ext>
      </extLst>
    </bk>
    <bk>
      <extLst>
        <ext uri="{3e2802c4-a4d2-4d8b-9148-e3be6c30e623}">
          <xlrd:rvb i="650"/>
        </ext>
      </extLst>
    </bk>
    <bk>
      <extLst>
        <ext uri="{3e2802c4-a4d2-4d8b-9148-e3be6c30e623}">
          <xlrd:rvb i="651"/>
        </ext>
      </extLst>
    </bk>
    <bk>
      <extLst>
        <ext uri="{3e2802c4-a4d2-4d8b-9148-e3be6c30e623}">
          <xlrd:rvb i="652"/>
        </ext>
      </extLst>
    </bk>
    <bk>
      <extLst>
        <ext uri="{3e2802c4-a4d2-4d8b-9148-e3be6c30e623}">
          <xlrd:rvb i="653"/>
        </ext>
      </extLst>
    </bk>
    <bk>
      <extLst>
        <ext uri="{3e2802c4-a4d2-4d8b-9148-e3be6c30e623}">
          <xlrd:rvb i="654"/>
        </ext>
      </extLst>
    </bk>
    <bk>
      <extLst>
        <ext uri="{3e2802c4-a4d2-4d8b-9148-e3be6c30e623}">
          <xlrd:rvb i="655"/>
        </ext>
      </extLst>
    </bk>
    <bk>
      <extLst>
        <ext uri="{3e2802c4-a4d2-4d8b-9148-e3be6c30e623}">
          <xlrd:rvb i="656"/>
        </ext>
      </extLst>
    </bk>
    <bk>
      <extLst>
        <ext uri="{3e2802c4-a4d2-4d8b-9148-e3be6c30e623}">
          <xlrd:rvb i="657"/>
        </ext>
      </extLst>
    </bk>
    <bk>
      <extLst>
        <ext uri="{3e2802c4-a4d2-4d8b-9148-e3be6c30e623}">
          <xlrd:rvb i="658"/>
        </ext>
      </extLst>
    </bk>
    <bk>
      <extLst>
        <ext uri="{3e2802c4-a4d2-4d8b-9148-e3be6c30e623}">
          <xlrd:rvb i="659"/>
        </ext>
      </extLst>
    </bk>
    <bk>
      <extLst>
        <ext uri="{3e2802c4-a4d2-4d8b-9148-e3be6c30e623}">
          <xlrd:rvb i="660"/>
        </ext>
      </extLst>
    </bk>
    <bk>
      <extLst>
        <ext uri="{3e2802c4-a4d2-4d8b-9148-e3be6c30e623}">
          <xlrd:rvb i="661"/>
        </ext>
      </extLst>
    </bk>
    <bk>
      <extLst>
        <ext uri="{3e2802c4-a4d2-4d8b-9148-e3be6c30e623}">
          <xlrd:rvb i="662"/>
        </ext>
      </extLst>
    </bk>
    <bk>
      <extLst>
        <ext uri="{3e2802c4-a4d2-4d8b-9148-e3be6c30e623}">
          <xlrd:rvb i="663"/>
        </ext>
      </extLst>
    </bk>
    <bk>
      <extLst>
        <ext uri="{3e2802c4-a4d2-4d8b-9148-e3be6c30e623}">
          <xlrd:rvb i="664"/>
        </ext>
      </extLst>
    </bk>
    <bk>
      <extLst>
        <ext uri="{3e2802c4-a4d2-4d8b-9148-e3be6c30e623}">
          <xlrd:rvb i="665"/>
        </ext>
      </extLst>
    </bk>
    <bk>
      <extLst>
        <ext uri="{3e2802c4-a4d2-4d8b-9148-e3be6c30e623}">
          <xlrd:rvb i="666"/>
        </ext>
      </extLst>
    </bk>
    <bk>
      <extLst>
        <ext uri="{3e2802c4-a4d2-4d8b-9148-e3be6c30e623}">
          <xlrd:rvb i="667"/>
        </ext>
      </extLst>
    </bk>
    <bk>
      <extLst>
        <ext uri="{3e2802c4-a4d2-4d8b-9148-e3be6c30e623}">
          <xlrd:rvb i="668"/>
        </ext>
      </extLst>
    </bk>
    <bk>
      <extLst>
        <ext uri="{3e2802c4-a4d2-4d8b-9148-e3be6c30e623}">
          <xlrd:rvb i="669"/>
        </ext>
      </extLst>
    </bk>
    <bk>
      <extLst>
        <ext uri="{3e2802c4-a4d2-4d8b-9148-e3be6c30e623}">
          <xlrd:rvb i="670"/>
        </ext>
      </extLst>
    </bk>
    <bk>
      <extLst>
        <ext uri="{3e2802c4-a4d2-4d8b-9148-e3be6c30e623}">
          <xlrd:rvb i="671"/>
        </ext>
      </extLst>
    </bk>
    <bk>
      <extLst>
        <ext uri="{3e2802c4-a4d2-4d8b-9148-e3be6c30e623}">
          <xlrd:rvb i="672"/>
        </ext>
      </extLst>
    </bk>
    <bk>
      <extLst>
        <ext uri="{3e2802c4-a4d2-4d8b-9148-e3be6c30e623}">
          <xlrd:rvb i="673"/>
        </ext>
      </extLst>
    </bk>
    <bk>
      <extLst>
        <ext uri="{3e2802c4-a4d2-4d8b-9148-e3be6c30e623}">
          <xlrd:rvb i="674"/>
        </ext>
      </extLst>
    </bk>
    <bk>
      <extLst>
        <ext uri="{3e2802c4-a4d2-4d8b-9148-e3be6c30e623}">
          <xlrd:rvb i="675"/>
        </ext>
      </extLst>
    </bk>
    <bk>
      <extLst>
        <ext uri="{3e2802c4-a4d2-4d8b-9148-e3be6c30e623}">
          <xlrd:rvb i="676"/>
        </ext>
      </extLst>
    </bk>
    <bk>
      <extLst>
        <ext uri="{3e2802c4-a4d2-4d8b-9148-e3be6c30e623}">
          <xlrd:rvb i="677"/>
        </ext>
      </extLst>
    </bk>
    <bk>
      <extLst>
        <ext uri="{3e2802c4-a4d2-4d8b-9148-e3be6c30e623}">
          <xlrd:rvb i="678"/>
        </ext>
      </extLst>
    </bk>
    <bk>
      <extLst>
        <ext uri="{3e2802c4-a4d2-4d8b-9148-e3be6c30e623}">
          <xlrd:rvb i="679"/>
        </ext>
      </extLst>
    </bk>
    <bk>
      <extLst>
        <ext uri="{3e2802c4-a4d2-4d8b-9148-e3be6c30e623}">
          <xlrd:rvb i="680"/>
        </ext>
      </extLst>
    </bk>
    <bk>
      <extLst>
        <ext uri="{3e2802c4-a4d2-4d8b-9148-e3be6c30e623}">
          <xlrd:rvb i="681"/>
        </ext>
      </extLst>
    </bk>
    <bk>
      <extLst>
        <ext uri="{3e2802c4-a4d2-4d8b-9148-e3be6c30e623}">
          <xlrd:rvb i="682"/>
        </ext>
      </extLst>
    </bk>
    <bk>
      <extLst>
        <ext uri="{3e2802c4-a4d2-4d8b-9148-e3be6c30e623}">
          <xlrd:rvb i="683"/>
        </ext>
      </extLst>
    </bk>
    <bk>
      <extLst>
        <ext uri="{3e2802c4-a4d2-4d8b-9148-e3be6c30e623}">
          <xlrd:rvb i="684"/>
        </ext>
      </extLst>
    </bk>
    <bk>
      <extLst>
        <ext uri="{3e2802c4-a4d2-4d8b-9148-e3be6c30e623}">
          <xlrd:rvb i="685"/>
        </ext>
      </extLst>
    </bk>
    <bk>
      <extLst>
        <ext uri="{3e2802c4-a4d2-4d8b-9148-e3be6c30e623}">
          <xlrd:rvb i="686"/>
        </ext>
      </extLst>
    </bk>
    <bk>
      <extLst>
        <ext uri="{3e2802c4-a4d2-4d8b-9148-e3be6c30e623}">
          <xlrd:rvb i="687"/>
        </ext>
      </extLst>
    </bk>
    <bk>
      <extLst>
        <ext uri="{3e2802c4-a4d2-4d8b-9148-e3be6c30e623}">
          <xlrd:rvb i="688"/>
        </ext>
      </extLst>
    </bk>
    <bk>
      <extLst>
        <ext uri="{3e2802c4-a4d2-4d8b-9148-e3be6c30e623}">
          <xlrd:rvb i="689"/>
        </ext>
      </extLst>
    </bk>
    <bk>
      <extLst>
        <ext uri="{3e2802c4-a4d2-4d8b-9148-e3be6c30e623}">
          <xlrd:rvb i="690"/>
        </ext>
      </extLst>
    </bk>
    <bk>
      <extLst>
        <ext uri="{3e2802c4-a4d2-4d8b-9148-e3be6c30e623}">
          <xlrd:rvb i="691"/>
        </ext>
      </extLst>
    </bk>
    <bk>
      <extLst>
        <ext uri="{3e2802c4-a4d2-4d8b-9148-e3be6c30e623}">
          <xlrd:rvb i="692"/>
        </ext>
      </extLst>
    </bk>
    <bk>
      <extLst>
        <ext uri="{3e2802c4-a4d2-4d8b-9148-e3be6c30e623}">
          <xlrd:rvb i="693"/>
        </ext>
      </extLst>
    </bk>
    <bk>
      <extLst>
        <ext uri="{3e2802c4-a4d2-4d8b-9148-e3be6c30e623}">
          <xlrd:rvb i="694"/>
        </ext>
      </extLst>
    </bk>
    <bk>
      <extLst>
        <ext uri="{3e2802c4-a4d2-4d8b-9148-e3be6c30e623}">
          <xlrd:rvb i="695"/>
        </ext>
      </extLst>
    </bk>
    <bk>
      <extLst>
        <ext uri="{3e2802c4-a4d2-4d8b-9148-e3be6c30e623}">
          <xlrd:rvb i="696"/>
        </ext>
      </extLst>
    </bk>
    <bk>
      <extLst>
        <ext uri="{3e2802c4-a4d2-4d8b-9148-e3be6c30e623}">
          <xlrd:rvb i="697"/>
        </ext>
      </extLst>
    </bk>
    <bk>
      <extLst>
        <ext uri="{3e2802c4-a4d2-4d8b-9148-e3be6c30e623}">
          <xlrd:rvb i="698"/>
        </ext>
      </extLst>
    </bk>
    <bk>
      <extLst>
        <ext uri="{3e2802c4-a4d2-4d8b-9148-e3be6c30e623}">
          <xlrd:rvb i="699"/>
        </ext>
      </extLst>
    </bk>
    <bk>
      <extLst>
        <ext uri="{3e2802c4-a4d2-4d8b-9148-e3be6c30e623}">
          <xlrd:rvb i="700"/>
        </ext>
      </extLst>
    </bk>
    <bk>
      <extLst>
        <ext uri="{3e2802c4-a4d2-4d8b-9148-e3be6c30e623}">
          <xlrd:rvb i="701"/>
        </ext>
      </extLst>
    </bk>
    <bk>
      <extLst>
        <ext uri="{3e2802c4-a4d2-4d8b-9148-e3be6c30e623}">
          <xlrd:rvb i="702"/>
        </ext>
      </extLst>
    </bk>
    <bk>
      <extLst>
        <ext uri="{3e2802c4-a4d2-4d8b-9148-e3be6c30e623}">
          <xlrd:rvb i="703"/>
        </ext>
      </extLst>
    </bk>
    <bk>
      <extLst>
        <ext uri="{3e2802c4-a4d2-4d8b-9148-e3be6c30e623}">
          <xlrd:rvb i="704"/>
        </ext>
      </extLst>
    </bk>
    <bk>
      <extLst>
        <ext uri="{3e2802c4-a4d2-4d8b-9148-e3be6c30e623}">
          <xlrd:rvb i="705"/>
        </ext>
      </extLst>
    </bk>
    <bk>
      <extLst>
        <ext uri="{3e2802c4-a4d2-4d8b-9148-e3be6c30e623}">
          <xlrd:rvb i="706"/>
        </ext>
      </extLst>
    </bk>
    <bk>
      <extLst>
        <ext uri="{3e2802c4-a4d2-4d8b-9148-e3be6c30e623}">
          <xlrd:rvb i="707"/>
        </ext>
      </extLst>
    </bk>
    <bk>
      <extLst>
        <ext uri="{3e2802c4-a4d2-4d8b-9148-e3be6c30e623}">
          <xlrd:rvb i="708"/>
        </ext>
      </extLst>
    </bk>
    <bk>
      <extLst>
        <ext uri="{3e2802c4-a4d2-4d8b-9148-e3be6c30e623}">
          <xlrd:rvb i="709"/>
        </ext>
      </extLst>
    </bk>
    <bk>
      <extLst>
        <ext uri="{3e2802c4-a4d2-4d8b-9148-e3be6c30e623}">
          <xlrd:rvb i="710"/>
        </ext>
      </extLst>
    </bk>
    <bk>
      <extLst>
        <ext uri="{3e2802c4-a4d2-4d8b-9148-e3be6c30e623}">
          <xlrd:rvb i="711"/>
        </ext>
      </extLst>
    </bk>
    <bk>
      <extLst>
        <ext uri="{3e2802c4-a4d2-4d8b-9148-e3be6c30e623}">
          <xlrd:rvb i="712"/>
        </ext>
      </extLst>
    </bk>
    <bk>
      <extLst>
        <ext uri="{3e2802c4-a4d2-4d8b-9148-e3be6c30e623}">
          <xlrd:rvb i="713"/>
        </ext>
      </extLst>
    </bk>
    <bk>
      <extLst>
        <ext uri="{3e2802c4-a4d2-4d8b-9148-e3be6c30e623}">
          <xlrd:rvb i="714"/>
        </ext>
      </extLst>
    </bk>
    <bk>
      <extLst>
        <ext uri="{3e2802c4-a4d2-4d8b-9148-e3be6c30e623}">
          <xlrd:rvb i="715"/>
        </ext>
      </extLst>
    </bk>
    <bk>
      <extLst>
        <ext uri="{3e2802c4-a4d2-4d8b-9148-e3be6c30e623}">
          <xlrd:rvb i="716"/>
        </ext>
      </extLst>
    </bk>
    <bk>
      <extLst>
        <ext uri="{3e2802c4-a4d2-4d8b-9148-e3be6c30e623}">
          <xlrd:rvb i="717"/>
        </ext>
      </extLst>
    </bk>
    <bk>
      <extLst>
        <ext uri="{3e2802c4-a4d2-4d8b-9148-e3be6c30e623}">
          <xlrd:rvb i="718"/>
        </ext>
      </extLst>
    </bk>
    <bk>
      <extLst>
        <ext uri="{3e2802c4-a4d2-4d8b-9148-e3be6c30e623}">
          <xlrd:rvb i="719"/>
        </ext>
      </extLst>
    </bk>
    <bk>
      <extLst>
        <ext uri="{3e2802c4-a4d2-4d8b-9148-e3be6c30e623}">
          <xlrd:rvb i="720"/>
        </ext>
      </extLst>
    </bk>
    <bk>
      <extLst>
        <ext uri="{3e2802c4-a4d2-4d8b-9148-e3be6c30e623}">
          <xlrd:rvb i="721"/>
        </ext>
      </extLst>
    </bk>
    <bk>
      <extLst>
        <ext uri="{3e2802c4-a4d2-4d8b-9148-e3be6c30e623}">
          <xlrd:rvb i="722"/>
        </ext>
      </extLst>
    </bk>
    <bk>
      <extLst>
        <ext uri="{3e2802c4-a4d2-4d8b-9148-e3be6c30e623}">
          <xlrd:rvb i="723"/>
        </ext>
      </extLst>
    </bk>
    <bk>
      <extLst>
        <ext uri="{3e2802c4-a4d2-4d8b-9148-e3be6c30e623}">
          <xlrd:rvb i="724"/>
        </ext>
      </extLst>
    </bk>
    <bk>
      <extLst>
        <ext uri="{3e2802c4-a4d2-4d8b-9148-e3be6c30e623}">
          <xlrd:rvb i="725"/>
        </ext>
      </extLst>
    </bk>
    <bk>
      <extLst>
        <ext uri="{3e2802c4-a4d2-4d8b-9148-e3be6c30e623}">
          <xlrd:rvb i="726"/>
        </ext>
      </extLst>
    </bk>
    <bk>
      <extLst>
        <ext uri="{3e2802c4-a4d2-4d8b-9148-e3be6c30e623}">
          <xlrd:rvb i="727"/>
        </ext>
      </extLst>
    </bk>
    <bk>
      <extLst>
        <ext uri="{3e2802c4-a4d2-4d8b-9148-e3be6c30e623}">
          <xlrd:rvb i="728"/>
        </ext>
      </extLst>
    </bk>
    <bk>
      <extLst>
        <ext uri="{3e2802c4-a4d2-4d8b-9148-e3be6c30e623}">
          <xlrd:rvb i="729"/>
        </ext>
      </extLst>
    </bk>
    <bk>
      <extLst>
        <ext uri="{3e2802c4-a4d2-4d8b-9148-e3be6c30e623}">
          <xlrd:rvb i="730"/>
        </ext>
      </extLst>
    </bk>
    <bk>
      <extLst>
        <ext uri="{3e2802c4-a4d2-4d8b-9148-e3be6c30e623}">
          <xlrd:rvb i="731"/>
        </ext>
      </extLst>
    </bk>
    <bk>
      <extLst>
        <ext uri="{3e2802c4-a4d2-4d8b-9148-e3be6c30e623}">
          <xlrd:rvb i="734"/>
        </ext>
      </extLst>
    </bk>
    <bk>
      <extLst>
        <ext uri="{3e2802c4-a4d2-4d8b-9148-e3be6c30e623}">
          <xlrd:rvb i="735"/>
        </ext>
      </extLst>
    </bk>
    <bk>
      <extLst>
        <ext uri="{3e2802c4-a4d2-4d8b-9148-e3be6c30e623}">
          <xlrd:rvb i="736"/>
        </ext>
      </extLst>
    </bk>
    <bk>
      <extLst>
        <ext uri="{3e2802c4-a4d2-4d8b-9148-e3be6c30e623}">
          <xlrd:rvb i="737"/>
        </ext>
      </extLst>
    </bk>
    <bk>
      <extLst>
        <ext uri="{3e2802c4-a4d2-4d8b-9148-e3be6c30e623}">
          <xlrd:rvb i="738"/>
        </ext>
      </extLst>
    </bk>
    <bk>
      <extLst>
        <ext uri="{3e2802c4-a4d2-4d8b-9148-e3be6c30e623}">
          <xlrd:rvb i="739"/>
        </ext>
      </extLst>
    </bk>
    <bk>
      <extLst>
        <ext uri="{3e2802c4-a4d2-4d8b-9148-e3be6c30e623}">
          <xlrd:rvb i="740"/>
        </ext>
      </extLst>
    </bk>
    <bk>
      <extLst>
        <ext uri="{3e2802c4-a4d2-4d8b-9148-e3be6c30e623}">
          <xlrd:rvb i="741"/>
        </ext>
      </extLst>
    </bk>
    <bk>
      <extLst>
        <ext uri="{3e2802c4-a4d2-4d8b-9148-e3be6c30e623}">
          <xlrd:rvb i="742"/>
        </ext>
      </extLst>
    </bk>
    <bk>
      <extLst>
        <ext uri="{3e2802c4-a4d2-4d8b-9148-e3be6c30e623}">
          <xlrd:rvb i="743"/>
        </ext>
      </extLst>
    </bk>
    <bk>
      <extLst>
        <ext uri="{3e2802c4-a4d2-4d8b-9148-e3be6c30e623}">
          <xlrd:rvb i="744"/>
        </ext>
      </extLst>
    </bk>
    <bk>
      <extLst>
        <ext uri="{3e2802c4-a4d2-4d8b-9148-e3be6c30e623}">
          <xlrd:rvb i="745"/>
        </ext>
      </extLst>
    </bk>
    <bk>
      <extLst>
        <ext uri="{3e2802c4-a4d2-4d8b-9148-e3be6c30e623}">
          <xlrd:rvb i="746"/>
        </ext>
      </extLst>
    </bk>
    <bk>
      <extLst>
        <ext uri="{3e2802c4-a4d2-4d8b-9148-e3be6c30e623}">
          <xlrd:rvb i="747"/>
        </ext>
      </extLst>
    </bk>
    <bk>
      <extLst>
        <ext uri="{3e2802c4-a4d2-4d8b-9148-e3be6c30e623}">
          <xlrd:rvb i="748"/>
        </ext>
      </extLst>
    </bk>
    <bk>
      <extLst>
        <ext uri="{3e2802c4-a4d2-4d8b-9148-e3be6c30e623}">
          <xlrd:rvb i="749"/>
        </ext>
      </extLst>
    </bk>
    <bk>
      <extLst>
        <ext uri="{3e2802c4-a4d2-4d8b-9148-e3be6c30e623}">
          <xlrd:rvb i="750"/>
        </ext>
      </extLst>
    </bk>
    <bk>
      <extLst>
        <ext uri="{3e2802c4-a4d2-4d8b-9148-e3be6c30e623}">
          <xlrd:rvb i="751"/>
        </ext>
      </extLst>
    </bk>
    <bk>
      <extLst>
        <ext uri="{3e2802c4-a4d2-4d8b-9148-e3be6c30e623}">
          <xlrd:rvb i="752"/>
        </ext>
      </extLst>
    </bk>
    <bk>
      <extLst>
        <ext uri="{3e2802c4-a4d2-4d8b-9148-e3be6c30e623}">
          <xlrd:rvb i="753"/>
        </ext>
      </extLst>
    </bk>
    <bk>
      <extLst>
        <ext uri="{3e2802c4-a4d2-4d8b-9148-e3be6c30e623}">
          <xlrd:rvb i="754"/>
        </ext>
      </extLst>
    </bk>
    <bk>
      <extLst>
        <ext uri="{3e2802c4-a4d2-4d8b-9148-e3be6c30e623}">
          <xlrd:rvb i="755"/>
        </ext>
      </extLst>
    </bk>
    <bk>
      <extLst>
        <ext uri="{3e2802c4-a4d2-4d8b-9148-e3be6c30e623}">
          <xlrd:rvb i="756"/>
        </ext>
      </extLst>
    </bk>
    <bk>
      <extLst>
        <ext uri="{3e2802c4-a4d2-4d8b-9148-e3be6c30e623}">
          <xlrd:rvb i="757"/>
        </ext>
      </extLst>
    </bk>
    <bk>
      <extLst>
        <ext uri="{3e2802c4-a4d2-4d8b-9148-e3be6c30e623}">
          <xlrd:rvb i="758"/>
        </ext>
      </extLst>
    </bk>
    <bk>
      <extLst>
        <ext uri="{3e2802c4-a4d2-4d8b-9148-e3be6c30e623}">
          <xlrd:rvb i="759"/>
        </ext>
      </extLst>
    </bk>
    <bk>
      <extLst>
        <ext uri="{3e2802c4-a4d2-4d8b-9148-e3be6c30e623}">
          <xlrd:rvb i="760"/>
        </ext>
      </extLst>
    </bk>
    <bk>
      <extLst>
        <ext uri="{3e2802c4-a4d2-4d8b-9148-e3be6c30e623}">
          <xlrd:rvb i="761"/>
        </ext>
      </extLst>
    </bk>
    <bk>
      <extLst>
        <ext uri="{3e2802c4-a4d2-4d8b-9148-e3be6c30e623}">
          <xlrd:rvb i="762"/>
        </ext>
      </extLst>
    </bk>
    <bk>
      <extLst>
        <ext uri="{3e2802c4-a4d2-4d8b-9148-e3be6c30e623}">
          <xlrd:rvb i="763"/>
        </ext>
      </extLst>
    </bk>
    <bk>
      <extLst>
        <ext uri="{3e2802c4-a4d2-4d8b-9148-e3be6c30e623}">
          <xlrd:rvb i="764"/>
        </ext>
      </extLst>
    </bk>
    <bk>
      <extLst>
        <ext uri="{3e2802c4-a4d2-4d8b-9148-e3be6c30e623}">
          <xlrd:rvb i="765"/>
        </ext>
      </extLst>
    </bk>
    <bk>
      <extLst>
        <ext uri="{3e2802c4-a4d2-4d8b-9148-e3be6c30e623}">
          <xlrd:rvb i="766"/>
        </ext>
      </extLst>
    </bk>
    <bk>
      <extLst>
        <ext uri="{3e2802c4-a4d2-4d8b-9148-e3be6c30e623}">
          <xlrd:rvb i="767"/>
        </ext>
      </extLst>
    </bk>
    <bk>
      <extLst>
        <ext uri="{3e2802c4-a4d2-4d8b-9148-e3be6c30e623}">
          <xlrd:rvb i="768"/>
        </ext>
      </extLst>
    </bk>
    <bk>
      <extLst>
        <ext uri="{3e2802c4-a4d2-4d8b-9148-e3be6c30e623}">
          <xlrd:rvb i="769"/>
        </ext>
      </extLst>
    </bk>
    <bk>
      <extLst>
        <ext uri="{3e2802c4-a4d2-4d8b-9148-e3be6c30e623}">
          <xlrd:rvb i="770"/>
        </ext>
      </extLst>
    </bk>
    <bk>
      <extLst>
        <ext uri="{3e2802c4-a4d2-4d8b-9148-e3be6c30e623}">
          <xlrd:rvb i="771"/>
        </ext>
      </extLst>
    </bk>
    <bk>
      <extLst>
        <ext uri="{3e2802c4-a4d2-4d8b-9148-e3be6c30e623}">
          <xlrd:rvb i="772"/>
        </ext>
      </extLst>
    </bk>
    <bk>
      <extLst>
        <ext uri="{3e2802c4-a4d2-4d8b-9148-e3be6c30e623}">
          <xlrd:rvb i="773"/>
        </ext>
      </extLst>
    </bk>
    <bk>
      <extLst>
        <ext uri="{3e2802c4-a4d2-4d8b-9148-e3be6c30e623}">
          <xlrd:rvb i="774"/>
        </ext>
      </extLst>
    </bk>
    <bk>
      <extLst>
        <ext uri="{3e2802c4-a4d2-4d8b-9148-e3be6c30e623}">
          <xlrd:rvb i="775"/>
        </ext>
      </extLst>
    </bk>
    <bk>
      <extLst>
        <ext uri="{3e2802c4-a4d2-4d8b-9148-e3be6c30e623}">
          <xlrd:rvb i="776"/>
        </ext>
      </extLst>
    </bk>
    <bk>
      <extLst>
        <ext uri="{3e2802c4-a4d2-4d8b-9148-e3be6c30e623}">
          <xlrd:rvb i="777"/>
        </ext>
      </extLst>
    </bk>
    <bk>
      <extLst>
        <ext uri="{3e2802c4-a4d2-4d8b-9148-e3be6c30e623}">
          <xlrd:rvb i="778"/>
        </ext>
      </extLst>
    </bk>
    <bk>
      <extLst>
        <ext uri="{3e2802c4-a4d2-4d8b-9148-e3be6c30e623}">
          <xlrd:rvb i="779"/>
        </ext>
      </extLst>
    </bk>
    <bk>
      <extLst>
        <ext uri="{3e2802c4-a4d2-4d8b-9148-e3be6c30e623}">
          <xlrd:rvb i="780"/>
        </ext>
      </extLst>
    </bk>
    <bk>
      <extLst>
        <ext uri="{3e2802c4-a4d2-4d8b-9148-e3be6c30e623}">
          <xlrd:rvb i="781"/>
        </ext>
      </extLst>
    </bk>
    <bk>
      <extLst>
        <ext uri="{3e2802c4-a4d2-4d8b-9148-e3be6c30e623}">
          <xlrd:rvb i="782"/>
        </ext>
      </extLst>
    </bk>
    <bk>
      <extLst>
        <ext uri="{3e2802c4-a4d2-4d8b-9148-e3be6c30e623}">
          <xlrd:rvb i="783"/>
        </ext>
      </extLst>
    </bk>
    <bk>
      <extLst>
        <ext uri="{3e2802c4-a4d2-4d8b-9148-e3be6c30e623}">
          <xlrd:rvb i="784"/>
        </ext>
      </extLst>
    </bk>
    <bk>
      <extLst>
        <ext uri="{3e2802c4-a4d2-4d8b-9148-e3be6c30e623}">
          <xlrd:rvb i="785"/>
        </ext>
      </extLst>
    </bk>
    <bk>
      <extLst>
        <ext uri="{3e2802c4-a4d2-4d8b-9148-e3be6c30e623}">
          <xlrd:rvb i="786"/>
        </ext>
      </extLst>
    </bk>
    <bk>
      <extLst>
        <ext uri="{3e2802c4-a4d2-4d8b-9148-e3be6c30e623}">
          <xlrd:rvb i="787"/>
        </ext>
      </extLst>
    </bk>
    <bk>
      <extLst>
        <ext uri="{3e2802c4-a4d2-4d8b-9148-e3be6c30e623}">
          <xlrd:rvb i="788"/>
        </ext>
      </extLst>
    </bk>
    <bk>
      <extLst>
        <ext uri="{3e2802c4-a4d2-4d8b-9148-e3be6c30e623}">
          <xlrd:rvb i="789"/>
        </ext>
      </extLst>
    </bk>
    <bk>
      <extLst>
        <ext uri="{3e2802c4-a4d2-4d8b-9148-e3be6c30e623}">
          <xlrd:rvb i="790"/>
        </ext>
      </extLst>
    </bk>
    <bk>
      <extLst>
        <ext uri="{3e2802c4-a4d2-4d8b-9148-e3be6c30e623}">
          <xlrd:rvb i="791"/>
        </ext>
      </extLst>
    </bk>
    <bk>
      <extLst>
        <ext uri="{3e2802c4-a4d2-4d8b-9148-e3be6c30e623}">
          <xlrd:rvb i="792"/>
        </ext>
      </extLst>
    </bk>
    <bk>
      <extLst>
        <ext uri="{3e2802c4-a4d2-4d8b-9148-e3be6c30e623}">
          <xlrd:rvb i="793"/>
        </ext>
      </extLst>
    </bk>
    <bk>
      <extLst>
        <ext uri="{3e2802c4-a4d2-4d8b-9148-e3be6c30e623}">
          <xlrd:rvb i="794"/>
        </ext>
      </extLst>
    </bk>
    <bk>
      <extLst>
        <ext uri="{3e2802c4-a4d2-4d8b-9148-e3be6c30e623}">
          <xlrd:rvb i="795"/>
        </ext>
      </extLst>
    </bk>
    <bk>
      <extLst>
        <ext uri="{3e2802c4-a4d2-4d8b-9148-e3be6c30e623}">
          <xlrd:rvb i="796"/>
        </ext>
      </extLst>
    </bk>
    <bk>
      <extLst>
        <ext uri="{3e2802c4-a4d2-4d8b-9148-e3be6c30e623}">
          <xlrd:rvb i="797"/>
        </ext>
      </extLst>
    </bk>
    <bk>
      <extLst>
        <ext uri="{3e2802c4-a4d2-4d8b-9148-e3be6c30e623}">
          <xlrd:rvb i="798"/>
        </ext>
      </extLst>
    </bk>
    <bk>
      <extLst>
        <ext uri="{3e2802c4-a4d2-4d8b-9148-e3be6c30e623}">
          <xlrd:rvb i="799"/>
        </ext>
      </extLst>
    </bk>
    <bk>
      <extLst>
        <ext uri="{3e2802c4-a4d2-4d8b-9148-e3be6c30e623}">
          <xlrd:rvb i="800"/>
        </ext>
      </extLst>
    </bk>
    <bk>
      <extLst>
        <ext uri="{3e2802c4-a4d2-4d8b-9148-e3be6c30e623}">
          <xlrd:rvb i="801"/>
        </ext>
      </extLst>
    </bk>
    <bk>
      <extLst>
        <ext uri="{3e2802c4-a4d2-4d8b-9148-e3be6c30e623}">
          <xlrd:rvb i="802"/>
        </ext>
      </extLst>
    </bk>
    <bk>
      <extLst>
        <ext uri="{3e2802c4-a4d2-4d8b-9148-e3be6c30e623}">
          <xlrd:rvb i="803"/>
        </ext>
      </extLst>
    </bk>
    <bk>
      <extLst>
        <ext uri="{3e2802c4-a4d2-4d8b-9148-e3be6c30e623}">
          <xlrd:rvb i="804"/>
        </ext>
      </extLst>
    </bk>
    <bk>
      <extLst>
        <ext uri="{3e2802c4-a4d2-4d8b-9148-e3be6c30e623}">
          <xlrd:rvb i="805"/>
        </ext>
      </extLst>
    </bk>
    <bk>
      <extLst>
        <ext uri="{3e2802c4-a4d2-4d8b-9148-e3be6c30e623}">
          <xlrd:rvb i="806"/>
        </ext>
      </extLst>
    </bk>
    <bk>
      <extLst>
        <ext uri="{3e2802c4-a4d2-4d8b-9148-e3be6c30e623}">
          <xlrd:rvb i="807"/>
        </ext>
      </extLst>
    </bk>
    <bk>
      <extLst>
        <ext uri="{3e2802c4-a4d2-4d8b-9148-e3be6c30e623}">
          <xlrd:rvb i="808"/>
        </ext>
      </extLst>
    </bk>
    <bk>
      <extLst>
        <ext uri="{3e2802c4-a4d2-4d8b-9148-e3be6c30e623}">
          <xlrd:rvb i="809"/>
        </ext>
      </extLst>
    </bk>
    <bk>
      <extLst>
        <ext uri="{3e2802c4-a4d2-4d8b-9148-e3be6c30e623}">
          <xlrd:rvb i="810"/>
        </ext>
      </extLst>
    </bk>
    <bk>
      <extLst>
        <ext uri="{3e2802c4-a4d2-4d8b-9148-e3be6c30e623}">
          <xlrd:rvb i="811"/>
        </ext>
      </extLst>
    </bk>
    <bk>
      <extLst>
        <ext uri="{3e2802c4-a4d2-4d8b-9148-e3be6c30e623}">
          <xlrd:rvb i="812"/>
        </ext>
      </extLst>
    </bk>
    <bk>
      <extLst>
        <ext uri="{3e2802c4-a4d2-4d8b-9148-e3be6c30e623}">
          <xlrd:rvb i="813"/>
        </ext>
      </extLst>
    </bk>
    <bk>
      <extLst>
        <ext uri="{3e2802c4-a4d2-4d8b-9148-e3be6c30e623}">
          <xlrd:rvb i="814"/>
        </ext>
      </extLst>
    </bk>
    <bk>
      <extLst>
        <ext uri="{3e2802c4-a4d2-4d8b-9148-e3be6c30e623}">
          <xlrd:rvb i="815"/>
        </ext>
      </extLst>
    </bk>
    <bk>
      <extLst>
        <ext uri="{3e2802c4-a4d2-4d8b-9148-e3be6c30e623}">
          <xlrd:rvb i="816"/>
        </ext>
      </extLst>
    </bk>
    <bk>
      <extLst>
        <ext uri="{3e2802c4-a4d2-4d8b-9148-e3be6c30e623}">
          <xlrd:rvb i="817"/>
        </ext>
      </extLst>
    </bk>
    <bk>
      <extLst>
        <ext uri="{3e2802c4-a4d2-4d8b-9148-e3be6c30e623}">
          <xlrd:rvb i="818"/>
        </ext>
      </extLst>
    </bk>
    <bk>
      <extLst>
        <ext uri="{3e2802c4-a4d2-4d8b-9148-e3be6c30e623}">
          <xlrd:rvb i="819"/>
        </ext>
      </extLst>
    </bk>
    <bk>
      <extLst>
        <ext uri="{3e2802c4-a4d2-4d8b-9148-e3be6c30e623}">
          <xlrd:rvb i="820"/>
        </ext>
      </extLst>
    </bk>
    <bk>
      <extLst>
        <ext uri="{3e2802c4-a4d2-4d8b-9148-e3be6c30e623}">
          <xlrd:rvb i="821"/>
        </ext>
      </extLst>
    </bk>
    <bk>
      <extLst>
        <ext uri="{3e2802c4-a4d2-4d8b-9148-e3be6c30e623}">
          <xlrd:rvb i="822"/>
        </ext>
      </extLst>
    </bk>
    <bk>
      <extLst>
        <ext uri="{3e2802c4-a4d2-4d8b-9148-e3be6c30e623}">
          <xlrd:rvb i="823"/>
        </ext>
      </extLst>
    </bk>
    <bk>
      <extLst>
        <ext uri="{3e2802c4-a4d2-4d8b-9148-e3be6c30e623}">
          <xlrd:rvb i="824"/>
        </ext>
      </extLst>
    </bk>
    <bk>
      <extLst>
        <ext uri="{3e2802c4-a4d2-4d8b-9148-e3be6c30e623}">
          <xlrd:rvb i="825"/>
        </ext>
      </extLst>
    </bk>
    <bk>
      <extLst>
        <ext uri="{3e2802c4-a4d2-4d8b-9148-e3be6c30e623}">
          <xlrd:rvb i="826"/>
        </ext>
      </extLst>
    </bk>
    <bk>
      <extLst>
        <ext uri="{3e2802c4-a4d2-4d8b-9148-e3be6c30e623}">
          <xlrd:rvb i="827"/>
        </ext>
      </extLst>
    </bk>
    <bk>
      <extLst>
        <ext uri="{3e2802c4-a4d2-4d8b-9148-e3be6c30e623}">
          <xlrd:rvb i="828"/>
        </ext>
      </extLst>
    </bk>
    <bk>
      <extLst>
        <ext uri="{3e2802c4-a4d2-4d8b-9148-e3be6c30e623}">
          <xlrd:rvb i="829"/>
        </ext>
      </extLst>
    </bk>
    <bk>
      <extLst>
        <ext uri="{3e2802c4-a4d2-4d8b-9148-e3be6c30e623}">
          <xlrd:rvb i="830"/>
        </ext>
      </extLst>
    </bk>
    <bk>
      <extLst>
        <ext uri="{3e2802c4-a4d2-4d8b-9148-e3be6c30e623}">
          <xlrd:rvb i="831"/>
        </ext>
      </extLst>
    </bk>
    <bk>
      <extLst>
        <ext uri="{3e2802c4-a4d2-4d8b-9148-e3be6c30e623}">
          <xlrd:rvb i="832"/>
        </ext>
      </extLst>
    </bk>
    <bk>
      <extLst>
        <ext uri="{3e2802c4-a4d2-4d8b-9148-e3be6c30e623}">
          <xlrd:rvb i="833"/>
        </ext>
      </extLst>
    </bk>
    <bk>
      <extLst>
        <ext uri="{3e2802c4-a4d2-4d8b-9148-e3be6c30e623}">
          <xlrd:rvb i="834"/>
        </ext>
      </extLst>
    </bk>
    <bk>
      <extLst>
        <ext uri="{3e2802c4-a4d2-4d8b-9148-e3be6c30e623}">
          <xlrd:rvb i="835"/>
        </ext>
      </extLst>
    </bk>
    <bk>
      <extLst>
        <ext uri="{3e2802c4-a4d2-4d8b-9148-e3be6c30e623}">
          <xlrd:rvb i="836"/>
        </ext>
      </extLst>
    </bk>
    <bk>
      <extLst>
        <ext uri="{3e2802c4-a4d2-4d8b-9148-e3be6c30e623}">
          <xlrd:rvb i="837"/>
        </ext>
      </extLst>
    </bk>
    <bk>
      <extLst>
        <ext uri="{3e2802c4-a4d2-4d8b-9148-e3be6c30e623}">
          <xlrd:rvb i="838"/>
        </ext>
      </extLst>
    </bk>
    <bk>
      <extLst>
        <ext uri="{3e2802c4-a4d2-4d8b-9148-e3be6c30e623}">
          <xlrd:rvb i="839"/>
        </ext>
      </extLst>
    </bk>
    <bk>
      <extLst>
        <ext uri="{3e2802c4-a4d2-4d8b-9148-e3be6c30e623}">
          <xlrd:rvb i="840"/>
        </ext>
      </extLst>
    </bk>
    <bk>
      <extLst>
        <ext uri="{3e2802c4-a4d2-4d8b-9148-e3be6c30e623}">
          <xlrd:rvb i="841"/>
        </ext>
      </extLst>
    </bk>
    <bk>
      <extLst>
        <ext uri="{3e2802c4-a4d2-4d8b-9148-e3be6c30e623}">
          <xlrd:rvb i="842"/>
        </ext>
      </extLst>
    </bk>
    <bk>
      <extLst>
        <ext uri="{3e2802c4-a4d2-4d8b-9148-e3be6c30e623}">
          <xlrd:rvb i="843"/>
        </ext>
      </extLst>
    </bk>
    <bk>
      <extLst>
        <ext uri="{3e2802c4-a4d2-4d8b-9148-e3be6c30e623}">
          <xlrd:rvb i="844"/>
        </ext>
      </extLst>
    </bk>
    <bk>
      <extLst>
        <ext uri="{3e2802c4-a4d2-4d8b-9148-e3be6c30e623}">
          <xlrd:rvb i="845"/>
        </ext>
      </extLst>
    </bk>
    <bk>
      <extLst>
        <ext uri="{3e2802c4-a4d2-4d8b-9148-e3be6c30e623}">
          <xlrd:rvb i="846"/>
        </ext>
      </extLst>
    </bk>
    <bk>
      <extLst>
        <ext uri="{3e2802c4-a4d2-4d8b-9148-e3be6c30e623}">
          <xlrd:rvb i="847"/>
        </ext>
      </extLst>
    </bk>
    <bk>
      <extLst>
        <ext uri="{3e2802c4-a4d2-4d8b-9148-e3be6c30e623}">
          <xlrd:rvb i="848"/>
        </ext>
      </extLst>
    </bk>
    <bk>
      <extLst>
        <ext uri="{3e2802c4-a4d2-4d8b-9148-e3be6c30e623}">
          <xlrd:rvb i="849"/>
        </ext>
      </extLst>
    </bk>
    <bk>
      <extLst>
        <ext uri="{3e2802c4-a4d2-4d8b-9148-e3be6c30e623}">
          <xlrd:rvb i="850"/>
        </ext>
      </extLst>
    </bk>
    <bk>
      <extLst>
        <ext uri="{3e2802c4-a4d2-4d8b-9148-e3be6c30e623}">
          <xlrd:rvb i="851"/>
        </ext>
      </extLst>
    </bk>
    <bk>
      <extLst>
        <ext uri="{3e2802c4-a4d2-4d8b-9148-e3be6c30e623}">
          <xlrd:rvb i="852"/>
        </ext>
      </extLst>
    </bk>
    <bk>
      <extLst>
        <ext uri="{3e2802c4-a4d2-4d8b-9148-e3be6c30e623}">
          <xlrd:rvb i="853"/>
        </ext>
      </extLst>
    </bk>
    <bk>
      <extLst>
        <ext uri="{3e2802c4-a4d2-4d8b-9148-e3be6c30e623}">
          <xlrd:rvb i="854"/>
        </ext>
      </extLst>
    </bk>
    <bk>
      <extLst>
        <ext uri="{3e2802c4-a4d2-4d8b-9148-e3be6c30e623}">
          <xlrd:rvb i="855"/>
        </ext>
      </extLst>
    </bk>
    <bk>
      <extLst>
        <ext uri="{3e2802c4-a4d2-4d8b-9148-e3be6c30e623}">
          <xlrd:rvb i="856"/>
        </ext>
      </extLst>
    </bk>
    <bk>
      <extLst>
        <ext uri="{3e2802c4-a4d2-4d8b-9148-e3be6c30e623}">
          <xlrd:rvb i="857"/>
        </ext>
      </extLst>
    </bk>
    <bk>
      <extLst>
        <ext uri="{3e2802c4-a4d2-4d8b-9148-e3be6c30e623}">
          <xlrd:rvb i="858"/>
        </ext>
      </extLst>
    </bk>
    <bk>
      <extLst>
        <ext uri="{3e2802c4-a4d2-4d8b-9148-e3be6c30e623}">
          <xlrd:rvb i="859"/>
        </ext>
      </extLst>
    </bk>
    <bk>
      <extLst>
        <ext uri="{3e2802c4-a4d2-4d8b-9148-e3be6c30e623}">
          <xlrd:rvb i="860"/>
        </ext>
      </extLst>
    </bk>
    <bk>
      <extLst>
        <ext uri="{3e2802c4-a4d2-4d8b-9148-e3be6c30e623}">
          <xlrd:rvb i="861"/>
        </ext>
      </extLst>
    </bk>
    <bk>
      <extLst>
        <ext uri="{3e2802c4-a4d2-4d8b-9148-e3be6c30e623}">
          <xlrd:rvb i="862"/>
        </ext>
      </extLst>
    </bk>
    <bk>
      <extLst>
        <ext uri="{3e2802c4-a4d2-4d8b-9148-e3be6c30e623}">
          <xlrd:rvb i="863"/>
        </ext>
      </extLst>
    </bk>
    <bk>
      <extLst>
        <ext uri="{3e2802c4-a4d2-4d8b-9148-e3be6c30e623}">
          <xlrd:rvb i="864"/>
        </ext>
      </extLst>
    </bk>
    <bk>
      <extLst>
        <ext uri="{3e2802c4-a4d2-4d8b-9148-e3be6c30e623}">
          <xlrd:rvb i="865"/>
        </ext>
      </extLst>
    </bk>
    <bk>
      <extLst>
        <ext uri="{3e2802c4-a4d2-4d8b-9148-e3be6c30e623}">
          <xlrd:rvb i="866"/>
        </ext>
      </extLst>
    </bk>
    <bk>
      <extLst>
        <ext uri="{3e2802c4-a4d2-4d8b-9148-e3be6c30e623}">
          <xlrd:rvb i="867"/>
        </ext>
      </extLst>
    </bk>
    <bk>
      <extLst>
        <ext uri="{3e2802c4-a4d2-4d8b-9148-e3be6c30e623}">
          <xlrd:rvb i="868"/>
        </ext>
      </extLst>
    </bk>
    <bk>
      <extLst>
        <ext uri="{3e2802c4-a4d2-4d8b-9148-e3be6c30e623}">
          <xlrd:rvb i="869"/>
        </ext>
      </extLst>
    </bk>
    <bk>
      <extLst>
        <ext uri="{3e2802c4-a4d2-4d8b-9148-e3be6c30e623}">
          <xlrd:rvb i="870"/>
        </ext>
      </extLst>
    </bk>
    <bk>
      <extLst>
        <ext uri="{3e2802c4-a4d2-4d8b-9148-e3be6c30e623}">
          <xlrd:rvb i="871"/>
        </ext>
      </extLst>
    </bk>
    <bk>
      <extLst>
        <ext uri="{3e2802c4-a4d2-4d8b-9148-e3be6c30e623}">
          <xlrd:rvb i="872"/>
        </ext>
      </extLst>
    </bk>
    <bk>
      <extLst>
        <ext uri="{3e2802c4-a4d2-4d8b-9148-e3be6c30e623}">
          <xlrd:rvb i="873"/>
        </ext>
      </extLst>
    </bk>
    <bk>
      <extLst>
        <ext uri="{3e2802c4-a4d2-4d8b-9148-e3be6c30e623}">
          <xlrd:rvb i="874"/>
        </ext>
      </extLst>
    </bk>
    <bk>
      <extLst>
        <ext uri="{3e2802c4-a4d2-4d8b-9148-e3be6c30e623}">
          <xlrd:rvb i="875"/>
        </ext>
      </extLst>
    </bk>
    <bk>
      <extLst>
        <ext uri="{3e2802c4-a4d2-4d8b-9148-e3be6c30e623}">
          <xlrd:rvb i="876"/>
        </ext>
      </extLst>
    </bk>
    <bk>
      <extLst>
        <ext uri="{3e2802c4-a4d2-4d8b-9148-e3be6c30e623}">
          <xlrd:rvb i="877"/>
        </ext>
      </extLst>
    </bk>
    <bk>
      <extLst>
        <ext uri="{3e2802c4-a4d2-4d8b-9148-e3be6c30e623}">
          <xlrd:rvb i="878"/>
        </ext>
      </extLst>
    </bk>
    <bk>
      <extLst>
        <ext uri="{3e2802c4-a4d2-4d8b-9148-e3be6c30e623}">
          <xlrd:rvb i="879"/>
        </ext>
      </extLst>
    </bk>
    <bk>
      <extLst>
        <ext uri="{3e2802c4-a4d2-4d8b-9148-e3be6c30e623}">
          <xlrd:rvb i="880"/>
        </ext>
      </extLst>
    </bk>
    <bk>
      <extLst>
        <ext uri="{3e2802c4-a4d2-4d8b-9148-e3be6c30e623}">
          <xlrd:rvb i="881"/>
        </ext>
      </extLst>
    </bk>
    <bk>
      <extLst>
        <ext uri="{3e2802c4-a4d2-4d8b-9148-e3be6c30e623}">
          <xlrd:rvb i="882"/>
        </ext>
      </extLst>
    </bk>
    <bk>
      <extLst>
        <ext uri="{3e2802c4-a4d2-4d8b-9148-e3be6c30e623}">
          <xlrd:rvb i="883"/>
        </ext>
      </extLst>
    </bk>
    <bk>
      <extLst>
        <ext uri="{3e2802c4-a4d2-4d8b-9148-e3be6c30e623}">
          <xlrd:rvb i="884"/>
        </ext>
      </extLst>
    </bk>
    <bk>
      <extLst>
        <ext uri="{3e2802c4-a4d2-4d8b-9148-e3be6c30e623}">
          <xlrd:rvb i="885"/>
        </ext>
      </extLst>
    </bk>
    <bk>
      <extLst>
        <ext uri="{3e2802c4-a4d2-4d8b-9148-e3be6c30e623}">
          <xlrd:rvb i="886"/>
        </ext>
      </extLst>
    </bk>
    <bk>
      <extLst>
        <ext uri="{3e2802c4-a4d2-4d8b-9148-e3be6c30e623}">
          <xlrd:rvb i="887"/>
        </ext>
      </extLst>
    </bk>
    <bk>
      <extLst>
        <ext uri="{3e2802c4-a4d2-4d8b-9148-e3be6c30e623}">
          <xlrd:rvb i="888"/>
        </ext>
      </extLst>
    </bk>
    <bk>
      <extLst>
        <ext uri="{3e2802c4-a4d2-4d8b-9148-e3be6c30e623}">
          <xlrd:rvb i="889"/>
        </ext>
      </extLst>
    </bk>
    <bk>
      <extLst>
        <ext uri="{3e2802c4-a4d2-4d8b-9148-e3be6c30e623}">
          <xlrd:rvb i="890"/>
        </ext>
      </extLst>
    </bk>
    <bk>
      <extLst>
        <ext uri="{3e2802c4-a4d2-4d8b-9148-e3be6c30e623}">
          <xlrd:rvb i="891"/>
        </ext>
      </extLst>
    </bk>
    <bk>
      <extLst>
        <ext uri="{3e2802c4-a4d2-4d8b-9148-e3be6c30e623}">
          <xlrd:rvb i="892"/>
        </ext>
      </extLst>
    </bk>
    <bk>
      <extLst>
        <ext uri="{3e2802c4-a4d2-4d8b-9148-e3be6c30e623}">
          <xlrd:rvb i="893"/>
        </ext>
      </extLst>
    </bk>
    <bk>
      <extLst>
        <ext uri="{3e2802c4-a4d2-4d8b-9148-e3be6c30e623}">
          <xlrd:rvb i="894"/>
        </ext>
      </extLst>
    </bk>
    <bk>
      <extLst>
        <ext uri="{3e2802c4-a4d2-4d8b-9148-e3be6c30e623}">
          <xlrd:rvb i="895"/>
        </ext>
      </extLst>
    </bk>
    <bk>
      <extLst>
        <ext uri="{3e2802c4-a4d2-4d8b-9148-e3be6c30e623}">
          <xlrd:rvb i="896"/>
        </ext>
      </extLst>
    </bk>
    <bk>
      <extLst>
        <ext uri="{3e2802c4-a4d2-4d8b-9148-e3be6c30e623}">
          <xlrd:rvb i="897"/>
        </ext>
      </extLst>
    </bk>
    <bk>
      <extLst>
        <ext uri="{3e2802c4-a4d2-4d8b-9148-e3be6c30e623}">
          <xlrd:rvb i="898"/>
        </ext>
      </extLst>
    </bk>
    <bk>
      <extLst>
        <ext uri="{3e2802c4-a4d2-4d8b-9148-e3be6c30e623}">
          <xlrd:rvb i="899"/>
        </ext>
      </extLst>
    </bk>
    <bk>
      <extLst>
        <ext uri="{3e2802c4-a4d2-4d8b-9148-e3be6c30e623}">
          <xlrd:rvb i="900"/>
        </ext>
      </extLst>
    </bk>
    <bk>
      <extLst>
        <ext uri="{3e2802c4-a4d2-4d8b-9148-e3be6c30e623}">
          <xlrd:rvb i="901"/>
        </ext>
      </extLst>
    </bk>
    <bk>
      <extLst>
        <ext uri="{3e2802c4-a4d2-4d8b-9148-e3be6c30e623}">
          <xlrd:rvb i="902"/>
        </ext>
      </extLst>
    </bk>
    <bk>
      <extLst>
        <ext uri="{3e2802c4-a4d2-4d8b-9148-e3be6c30e623}">
          <xlrd:rvb i="903"/>
        </ext>
      </extLst>
    </bk>
    <bk>
      <extLst>
        <ext uri="{3e2802c4-a4d2-4d8b-9148-e3be6c30e623}">
          <xlrd:rvb i="904"/>
        </ext>
      </extLst>
    </bk>
    <bk>
      <extLst>
        <ext uri="{3e2802c4-a4d2-4d8b-9148-e3be6c30e623}">
          <xlrd:rvb i="905"/>
        </ext>
      </extLst>
    </bk>
    <bk>
      <extLst>
        <ext uri="{3e2802c4-a4d2-4d8b-9148-e3be6c30e623}">
          <xlrd:rvb i="906"/>
        </ext>
      </extLst>
    </bk>
    <bk>
      <extLst>
        <ext uri="{3e2802c4-a4d2-4d8b-9148-e3be6c30e623}">
          <xlrd:rvb i="907"/>
        </ext>
      </extLst>
    </bk>
    <bk>
      <extLst>
        <ext uri="{3e2802c4-a4d2-4d8b-9148-e3be6c30e623}">
          <xlrd:rvb i="908"/>
        </ext>
      </extLst>
    </bk>
    <bk>
      <extLst>
        <ext uri="{3e2802c4-a4d2-4d8b-9148-e3be6c30e623}">
          <xlrd:rvb i="909"/>
        </ext>
      </extLst>
    </bk>
    <bk>
      <extLst>
        <ext uri="{3e2802c4-a4d2-4d8b-9148-e3be6c30e623}">
          <xlrd:rvb i="910"/>
        </ext>
      </extLst>
    </bk>
    <bk>
      <extLst>
        <ext uri="{3e2802c4-a4d2-4d8b-9148-e3be6c30e623}">
          <xlrd:rvb i="911"/>
        </ext>
      </extLst>
    </bk>
    <bk>
      <extLst>
        <ext uri="{3e2802c4-a4d2-4d8b-9148-e3be6c30e623}">
          <xlrd:rvb i="912"/>
        </ext>
      </extLst>
    </bk>
    <bk>
      <extLst>
        <ext uri="{3e2802c4-a4d2-4d8b-9148-e3be6c30e623}">
          <xlrd:rvb i="913"/>
        </ext>
      </extLst>
    </bk>
    <bk>
      <extLst>
        <ext uri="{3e2802c4-a4d2-4d8b-9148-e3be6c30e623}">
          <xlrd:rvb i="914"/>
        </ext>
      </extLst>
    </bk>
    <bk>
      <extLst>
        <ext uri="{3e2802c4-a4d2-4d8b-9148-e3be6c30e623}">
          <xlrd:rvb i="915"/>
        </ext>
      </extLst>
    </bk>
    <bk>
      <extLst>
        <ext uri="{3e2802c4-a4d2-4d8b-9148-e3be6c30e623}">
          <xlrd:rvb i="916"/>
        </ext>
      </extLst>
    </bk>
    <bk>
      <extLst>
        <ext uri="{3e2802c4-a4d2-4d8b-9148-e3be6c30e623}">
          <xlrd:rvb i="917"/>
        </ext>
      </extLst>
    </bk>
    <bk>
      <extLst>
        <ext uri="{3e2802c4-a4d2-4d8b-9148-e3be6c30e623}">
          <xlrd:rvb i="918"/>
        </ext>
      </extLst>
    </bk>
    <bk>
      <extLst>
        <ext uri="{3e2802c4-a4d2-4d8b-9148-e3be6c30e623}">
          <xlrd:rvb i="919"/>
        </ext>
      </extLst>
    </bk>
    <bk>
      <extLst>
        <ext uri="{3e2802c4-a4d2-4d8b-9148-e3be6c30e623}">
          <xlrd:rvb i="920"/>
        </ext>
      </extLst>
    </bk>
    <bk>
      <extLst>
        <ext uri="{3e2802c4-a4d2-4d8b-9148-e3be6c30e623}">
          <xlrd:rvb i="921"/>
        </ext>
      </extLst>
    </bk>
    <bk>
      <extLst>
        <ext uri="{3e2802c4-a4d2-4d8b-9148-e3be6c30e623}">
          <xlrd:rvb i="922"/>
        </ext>
      </extLst>
    </bk>
    <bk>
      <extLst>
        <ext uri="{3e2802c4-a4d2-4d8b-9148-e3be6c30e623}">
          <xlrd:rvb i="923"/>
        </ext>
      </extLst>
    </bk>
    <bk>
      <extLst>
        <ext uri="{3e2802c4-a4d2-4d8b-9148-e3be6c30e623}">
          <xlrd:rvb i="924"/>
        </ext>
      </extLst>
    </bk>
    <bk>
      <extLst>
        <ext uri="{3e2802c4-a4d2-4d8b-9148-e3be6c30e623}">
          <xlrd:rvb i="925"/>
        </ext>
      </extLst>
    </bk>
    <bk>
      <extLst>
        <ext uri="{3e2802c4-a4d2-4d8b-9148-e3be6c30e623}">
          <xlrd:rvb i="926"/>
        </ext>
      </extLst>
    </bk>
    <bk>
      <extLst>
        <ext uri="{3e2802c4-a4d2-4d8b-9148-e3be6c30e623}">
          <xlrd:rvb i="927"/>
        </ext>
      </extLst>
    </bk>
    <bk>
      <extLst>
        <ext uri="{3e2802c4-a4d2-4d8b-9148-e3be6c30e623}">
          <xlrd:rvb i="928"/>
        </ext>
      </extLst>
    </bk>
    <bk>
      <extLst>
        <ext uri="{3e2802c4-a4d2-4d8b-9148-e3be6c30e623}">
          <xlrd:rvb i="929"/>
        </ext>
      </extLst>
    </bk>
    <bk>
      <extLst>
        <ext uri="{3e2802c4-a4d2-4d8b-9148-e3be6c30e623}">
          <xlrd:rvb i="930"/>
        </ext>
      </extLst>
    </bk>
    <bk>
      <extLst>
        <ext uri="{3e2802c4-a4d2-4d8b-9148-e3be6c30e623}">
          <xlrd:rvb i="931"/>
        </ext>
      </extLst>
    </bk>
    <bk>
      <extLst>
        <ext uri="{3e2802c4-a4d2-4d8b-9148-e3be6c30e623}">
          <xlrd:rvb i="932"/>
        </ext>
      </extLst>
    </bk>
    <bk>
      <extLst>
        <ext uri="{3e2802c4-a4d2-4d8b-9148-e3be6c30e623}">
          <xlrd:rvb i="933"/>
        </ext>
      </extLst>
    </bk>
    <bk>
      <extLst>
        <ext uri="{3e2802c4-a4d2-4d8b-9148-e3be6c30e623}">
          <xlrd:rvb i="934"/>
        </ext>
      </extLst>
    </bk>
    <bk>
      <extLst>
        <ext uri="{3e2802c4-a4d2-4d8b-9148-e3be6c30e623}">
          <xlrd:rvb i="935"/>
        </ext>
      </extLst>
    </bk>
    <bk>
      <extLst>
        <ext uri="{3e2802c4-a4d2-4d8b-9148-e3be6c30e623}">
          <xlrd:rvb i="936"/>
        </ext>
      </extLst>
    </bk>
    <bk>
      <extLst>
        <ext uri="{3e2802c4-a4d2-4d8b-9148-e3be6c30e623}">
          <xlrd:rvb i="937"/>
        </ext>
      </extLst>
    </bk>
    <bk>
      <extLst>
        <ext uri="{3e2802c4-a4d2-4d8b-9148-e3be6c30e623}">
          <xlrd:rvb i="938"/>
        </ext>
      </extLst>
    </bk>
    <bk>
      <extLst>
        <ext uri="{3e2802c4-a4d2-4d8b-9148-e3be6c30e623}">
          <xlrd:rvb i="939"/>
        </ext>
      </extLst>
    </bk>
    <bk>
      <extLst>
        <ext uri="{3e2802c4-a4d2-4d8b-9148-e3be6c30e623}">
          <xlrd:rvb i="940"/>
        </ext>
      </extLst>
    </bk>
    <bk>
      <extLst>
        <ext uri="{3e2802c4-a4d2-4d8b-9148-e3be6c30e623}">
          <xlrd:rvb i="941"/>
        </ext>
      </extLst>
    </bk>
    <bk>
      <extLst>
        <ext uri="{3e2802c4-a4d2-4d8b-9148-e3be6c30e623}">
          <xlrd:rvb i="942"/>
        </ext>
      </extLst>
    </bk>
    <bk>
      <extLst>
        <ext uri="{3e2802c4-a4d2-4d8b-9148-e3be6c30e623}">
          <xlrd:rvb i="943"/>
        </ext>
      </extLst>
    </bk>
    <bk>
      <extLst>
        <ext uri="{3e2802c4-a4d2-4d8b-9148-e3be6c30e623}">
          <xlrd:rvb i="944"/>
        </ext>
      </extLst>
    </bk>
    <bk>
      <extLst>
        <ext uri="{3e2802c4-a4d2-4d8b-9148-e3be6c30e623}">
          <xlrd:rvb i="945"/>
        </ext>
      </extLst>
    </bk>
    <bk>
      <extLst>
        <ext uri="{3e2802c4-a4d2-4d8b-9148-e3be6c30e623}">
          <xlrd:rvb i="946"/>
        </ext>
      </extLst>
    </bk>
    <bk>
      <extLst>
        <ext uri="{3e2802c4-a4d2-4d8b-9148-e3be6c30e623}">
          <xlrd:rvb i="947"/>
        </ext>
      </extLst>
    </bk>
    <bk>
      <extLst>
        <ext uri="{3e2802c4-a4d2-4d8b-9148-e3be6c30e623}">
          <xlrd:rvb i="948"/>
        </ext>
      </extLst>
    </bk>
    <bk>
      <extLst>
        <ext uri="{3e2802c4-a4d2-4d8b-9148-e3be6c30e623}">
          <xlrd:rvb i="949"/>
        </ext>
      </extLst>
    </bk>
    <bk>
      <extLst>
        <ext uri="{3e2802c4-a4d2-4d8b-9148-e3be6c30e623}">
          <xlrd:rvb i="950"/>
        </ext>
      </extLst>
    </bk>
    <bk>
      <extLst>
        <ext uri="{3e2802c4-a4d2-4d8b-9148-e3be6c30e623}">
          <xlrd:rvb i="951"/>
        </ext>
      </extLst>
    </bk>
    <bk>
      <extLst>
        <ext uri="{3e2802c4-a4d2-4d8b-9148-e3be6c30e623}">
          <xlrd:rvb i="952"/>
        </ext>
      </extLst>
    </bk>
    <bk>
      <extLst>
        <ext uri="{3e2802c4-a4d2-4d8b-9148-e3be6c30e623}">
          <xlrd:rvb i="953"/>
        </ext>
      </extLst>
    </bk>
    <bk>
      <extLst>
        <ext uri="{3e2802c4-a4d2-4d8b-9148-e3be6c30e623}">
          <xlrd:rvb i="954"/>
        </ext>
      </extLst>
    </bk>
    <bk>
      <extLst>
        <ext uri="{3e2802c4-a4d2-4d8b-9148-e3be6c30e623}">
          <xlrd:rvb i="955"/>
        </ext>
      </extLst>
    </bk>
    <bk>
      <extLst>
        <ext uri="{3e2802c4-a4d2-4d8b-9148-e3be6c30e623}">
          <xlrd:rvb i="956"/>
        </ext>
      </extLst>
    </bk>
    <bk>
      <extLst>
        <ext uri="{3e2802c4-a4d2-4d8b-9148-e3be6c30e623}">
          <xlrd:rvb i="957"/>
        </ext>
      </extLst>
    </bk>
    <bk>
      <extLst>
        <ext uri="{3e2802c4-a4d2-4d8b-9148-e3be6c30e623}">
          <xlrd:rvb i="958"/>
        </ext>
      </extLst>
    </bk>
    <bk>
      <extLst>
        <ext uri="{3e2802c4-a4d2-4d8b-9148-e3be6c30e623}">
          <xlrd:rvb i="959"/>
        </ext>
      </extLst>
    </bk>
    <bk>
      <extLst>
        <ext uri="{3e2802c4-a4d2-4d8b-9148-e3be6c30e623}">
          <xlrd:rvb i="960"/>
        </ext>
      </extLst>
    </bk>
    <bk>
      <extLst>
        <ext uri="{3e2802c4-a4d2-4d8b-9148-e3be6c30e623}">
          <xlrd:rvb i="961"/>
        </ext>
      </extLst>
    </bk>
    <bk>
      <extLst>
        <ext uri="{3e2802c4-a4d2-4d8b-9148-e3be6c30e623}">
          <xlrd:rvb i="962"/>
        </ext>
      </extLst>
    </bk>
    <bk>
      <extLst>
        <ext uri="{3e2802c4-a4d2-4d8b-9148-e3be6c30e623}">
          <xlrd:rvb i="963"/>
        </ext>
      </extLst>
    </bk>
    <bk>
      <extLst>
        <ext uri="{3e2802c4-a4d2-4d8b-9148-e3be6c30e623}">
          <xlrd:rvb i="964"/>
        </ext>
      </extLst>
    </bk>
    <bk>
      <extLst>
        <ext uri="{3e2802c4-a4d2-4d8b-9148-e3be6c30e623}">
          <xlrd:rvb i="965"/>
        </ext>
      </extLst>
    </bk>
    <bk>
      <extLst>
        <ext uri="{3e2802c4-a4d2-4d8b-9148-e3be6c30e623}">
          <xlrd:rvb i="966"/>
        </ext>
      </extLst>
    </bk>
    <bk>
      <extLst>
        <ext uri="{3e2802c4-a4d2-4d8b-9148-e3be6c30e623}">
          <xlrd:rvb i="967"/>
        </ext>
      </extLst>
    </bk>
    <bk>
      <extLst>
        <ext uri="{3e2802c4-a4d2-4d8b-9148-e3be6c30e623}">
          <xlrd:rvb i="968"/>
        </ext>
      </extLst>
    </bk>
    <bk>
      <extLst>
        <ext uri="{3e2802c4-a4d2-4d8b-9148-e3be6c30e623}">
          <xlrd:rvb i="969"/>
        </ext>
      </extLst>
    </bk>
    <bk>
      <extLst>
        <ext uri="{3e2802c4-a4d2-4d8b-9148-e3be6c30e623}">
          <xlrd:rvb i="970"/>
        </ext>
      </extLst>
    </bk>
    <bk>
      <extLst>
        <ext uri="{3e2802c4-a4d2-4d8b-9148-e3be6c30e623}">
          <xlrd:rvb i="971"/>
        </ext>
      </extLst>
    </bk>
    <bk>
      <extLst>
        <ext uri="{3e2802c4-a4d2-4d8b-9148-e3be6c30e623}">
          <xlrd:rvb i="974"/>
        </ext>
      </extLst>
    </bk>
    <bk>
      <extLst>
        <ext uri="{3e2802c4-a4d2-4d8b-9148-e3be6c30e623}">
          <xlrd:rvb i="975"/>
        </ext>
      </extLst>
    </bk>
    <bk>
      <extLst>
        <ext uri="{3e2802c4-a4d2-4d8b-9148-e3be6c30e623}">
          <xlrd:rvb i="976"/>
        </ext>
      </extLst>
    </bk>
    <bk>
      <extLst>
        <ext uri="{3e2802c4-a4d2-4d8b-9148-e3be6c30e623}">
          <xlrd:rvb i="977"/>
        </ext>
      </extLst>
    </bk>
    <bk>
      <extLst>
        <ext uri="{3e2802c4-a4d2-4d8b-9148-e3be6c30e623}">
          <xlrd:rvb i="978"/>
        </ext>
      </extLst>
    </bk>
    <bk>
      <extLst>
        <ext uri="{3e2802c4-a4d2-4d8b-9148-e3be6c30e623}">
          <xlrd:rvb i="979"/>
        </ext>
      </extLst>
    </bk>
    <bk>
      <extLst>
        <ext uri="{3e2802c4-a4d2-4d8b-9148-e3be6c30e623}">
          <xlrd:rvb i="980"/>
        </ext>
      </extLst>
    </bk>
    <bk>
      <extLst>
        <ext uri="{3e2802c4-a4d2-4d8b-9148-e3be6c30e623}">
          <xlrd:rvb i="981"/>
        </ext>
      </extLst>
    </bk>
    <bk>
      <extLst>
        <ext uri="{3e2802c4-a4d2-4d8b-9148-e3be6c30e623}">
          <xlrd:rvb i="982"/>
        </ext>
      </extLst>
    </bk>
    <bk>
      <extLst>
        <ext uri="{3e2802c4-a4d2-4d8b-9148-e3be6c30e623}">
          <xlrd:rvb i="983"/>
        </ext>
      </extLst>
    </bk>
    <bk>
      <extLst>
        <ext uri="{3e2802c4-a4d2-4d8b-9148-e3be6c30e623}">
          <xlrd:rvb i="984"/>
        </ext>
      </extLst>
    </bk>
    <bk>
      <extLst>
        <ext uri="{3e2802c4-a4d2-4d8b-9148-e3be6c30e623}">
          <xlrd:rvb i="985"/>
        </ext>
      </extLst>
    </bk>
    <bk>
      <extLst>
        <ext uri="{3e2802c4-a4d2-4d8b-9148-e3be6c30e623}">
          <xlrd:rvb i="986"/>
        </ext>
      </extLst>
    </bk>
    <bk>
      <extLst>
        <ext uri="{3e2802c4-a4d2-4d8b-9148-e3be6c30e623}">
          <xlrd:rvb i="987"/>
        </ext>
      </extLst>
    </bk>
    <bk>
      <extLst>
        <ext uri="{3e2802c4-a4d2-4d8b-9148-e3be6c30e623}">
          <xlrd:rvb i="988"/>
        </ext>
      </extLst>
    </bk>
    <bk>
      <extLst>
        <ext uri="{3e2802c4-a4d2-4d8b-9148-e3be6c30e623}">
          <xlrd:rvb i="989"/>
        </ext>
      </extLst>
    </bk>
    <bk>
      <extLst>
        <ext uri="{3e2802c4-a4d2-4d8b-9148-e3be6c30e623}">
          <xlrd:rvb i="990"/>
        </ext>
      </extLst>
    </bk>
    <bk>
      <extLst>
        <ext uri="{3e2802c4-a4d2-4d8b-9148-e3be6c30e623}">
          <xlrd:rvb i="991"/>
        </ext>
      </extLst>
    </bk>
    <bk>
      <extLst>
        <ext uri="{3e2802c4-a4d2-4d8b-9148-e3be6c30e623}">
          <xlrd:rvb i="992"/>
        </ext>
      </extLst>
    </bk>
    <bk>
      <extLst>
        <ext uri="{3e2802c4-a4d2-4d8b-9148-e3be6c30e623}">
          <xlrd:rvb i="993"/>
        </ext>
      </extLst>
    </bk>
    <bk>
      <extLst>
        <ext uri="{3e2802c4-a4d2-4d8b-9148-e3be6c30e623}">
          <xlrd:rvb i="994"/>
        </ext>
      </extLst>
    </bk>
    <bk>
      <extLst>
        <ext uri="{3e2802c4-a4d2-4d8b-9148-e3be6c30e623}">
          <xlrd:rvb i="995"/>
        </ext>
      </extLst>
    </bk>
    <bk>
      <extLst>
        <ext uri="{3e2802c4-a4d2-4d8b-9148-e3be6c30e623}">
          <xlrd:rvb i="996"/>
        </ext>
      </extLst>
    </bk>
    <bk>
      <extLst>
        <ext uri="{3e2802c4-a4d2-4d8b-9148-e3be6c30e623}">
          <xlrd:rvb i="997"/>
        </ext>
      </extLst>
    </bk>
    <bk>
      <extLst>
        <ext uri="{3e2802c4-a4d2-4d8b-9148-e3be6c30e623}">
          <xlrd:rvb i="998"/>
        </ext>
      </extLst>
    </bk>
    <bk>
      <extLst>
        <ext uri="{3e2802c4-a4d2-4d8b-9148-e3be6c30e623}">
          <xlrd:rvb i="999"/>
        </ext>
      </extLst>
    </bk>
    <bk>
      <extLst>
        <ext uri="{3e2802c4-a4d2-4d8b-9148-e3be6c30e623}">
          <xlrd:rvb i="1000"/>
        </ext>
      </extLst>
    </bk>
    <bk>
      <extLst>
        <ext uri="{3e2802c4-a4d2-4d8b-9148-e3be6c30e623}">
          <xlrd:rvb i="1001"/>
        </ext>
      </extLst>
    </bk>
    <bk>
      <extLst>
        <ext uri="{3e2802c4-a4d2-4d8b-9148-e3be6c30e623}">
          <xlrd:rvb i="1002"/>
        </ext>
      </extLst>
    </bk>
    <bk>
      <extLst>
        <ext uri="{3e2802c4-a4d2-4d8b-9148-e3be6c30e623}">
          <xlrd:rvb i="1003"/>
        </ext>
      </extLst>
    </bk>
    <bk>
      <extLst>
        <ext uri="{3e2802c4-a4d2-4d8b-9148-e3be6c30e623}">
          <xlrd:rvb i="1004"/>
        </ext>
      </extLst>
    </bk>
    <bk>
      <extLst>
        <ext uri="{3e2802c4-a4d2-4d8b-9148-e3be6c30e623}">
          <xlrd:rvb i="1005"/>
        </ext>
      </extLst>
    </bk>
    <bk>
      <extLst>
        <ext uri="{3e2802c4-a4d2-4d8b-9148-e3be6c30e623}">
          <xlrd:rvb i="1006"/>
        </ext>
      </extLst>
    </bk>
    <bk>
      <extLst>
        <ext uri="{3e2802c4-a4d2-4d8b-9148-e3be6c30e623}">
          <xlrd:rvb i="1007"/>
        </ext>
      </extLst>
    </bk>
    <bk>
      <extLst>
        <ext uri="{3e2802c4-a4d2-4d8b-9148-e3be6c30e623}">
          <xlrd:rvb i="1008"/>
        </ext>
      </extLst>
    </bk>
    <bk>
      <extLst>
        <ext uri="{3e2802c4-a4d2-4d8b-9148-e3be6c30e623}">
          <xlrd:rvb i="1009"/>
        </ext>
      </extLst>
    </bk>
    <bk>
      <extLst>
        <ext uri="{3e2802c4-a4d2-4d8b-9148-e3be6c30e623}">
          <xlrd:rvb i="1010"/>
        </ext>
      </extLst>
    </bk>
    <bk>
      <extLst>
        <ext uri="{3e2802c4-a4d2-4d8b-9148-e3be6c30e623}">
          <xlrd:rvb i="1011"/>
        </ext>
      </extLst>
    </bk>
    <bk>
      <extLst>
        <ext uri="{3e2802c4-a4d2-4d8b-9148-e3be6c30e623}">
          <xlrd:rvb i="1012"/>
        </ext>
      </extLst>
    </bk>
    <bk>
      <extLst>
        <ext uri="{3e2802c4-a4d2-4d8b-9148-e3be6c30e623}">
          <xlrd:rvb i="1013"/>
        </ext>
      </extLst>
    </bk>
    <bk>
      <extLst>
        <ext uri="{3e2802c4-a4d2-4d8b-9148-e3be6c30e623}">
          <xlrd:rvb i="1014"/>
        </ext>
      </extLst>
    </bk>
    <bk>
      <extLst>
        <ext uri="{3e2802c4-a4d2-4d8b-9148-e3be6c30e623}">
          <xlrd:rvb i="1015"/>
        </ext>
      </extLst>
    </bk>
    <bk>
      <extLst>
        <ext uri="{3e2802c4-a4d2-4d8b-9148-e3be6c30e623}">
          <xlrd:rvb i="1016"/>
        </ext>
      </extLst>
    </bk>
    <bk>
      <extLst>
        <ext uri="{3e2802c4-a4d2-4d8b-9148-e3be6c30e623}">
          <xlrd:rvb i="1017"/>
        </ext>
      </extLst>
    </bk>
    <bk>
      <extLst>
        <ext uri="{3e2802c4-a4d2-4d8b-9148-e3be6c30e623}">
          <xlrd:rvb i="1018"/>
        </ext>
      </extLst>
    </bk>
    <bk>
      <extLst>
        <ext uri="{3e2802c4-a4d2-4d8b-9148-e3be6c30e623}">
          <xlrd:rvb i="1019"/>
        </ext>
      </extLst>
    </bk>
    <bk>
      <extLst>
        <ext uri="{3e2802c4-a4d2-4d8b-9148-e3be6c30e623}">
          <xlrd:rvb i="1020"/>
        </ext>
      </extLst>
    </bk>
    <bk>
      <extLst>
        <ext uri="{3e2802c4-a4d2-4d8b-9148-e3be6c30e623}">
          <xlrd:rvb i="1021"/>
        </ext>
      </extLst>
    </bk>
    <bk>
      <extLst>
        <ext uri="{3e2802c4-a4d2-4d8b-9148-e3be6c30e623}">
          <xlrd:rvb i="1022"/>
        </ext>
      </extLst>
    </bk>
    <bk>
      <extLst>
        <ext uri="{3e2802c4-a4d2-4d8b-9148-e3be6c30e623}">
          <xlrd:rvb i="1023"/>
        </ext>
      </extLst>
    </bk>
    <bk>
      <extLst>
        <ext uri="{3e2802c4-a4d2-4d8b-9148-e3be6c30e623}">
          <xlrd:rvb i="1024"/>
        </ext>
      </extLst>
    </bk>
    <bk>
      <extLst>
        <ext uri="{3e2802c4-a4d2-4d8b-9148-e3be6c30e623}">
          <xlrd:rvb i="1025"/>
        </ext>
      </extLst>
    </bk>
    <bk>
      <extLst>
        <ext uri="{3e2802c4-a4d2-4d8b-9148-e3be6c30e623}">
          <xlrd:rvb i="1026"/>
        </ext>
      </extLst>
    </bk>
    <bk>
      <extLst>
        <ext uri="{3e2802c4-a4d2-4d8b-9148-e3be6c30e623}">
          <xlrd:rvb i="1027"/>
        </ext>
      </extLst>
    </bk>
    <bk>
      <extLst>
        <ext uri="{3e2802c4-a4d2-4d8b-9148-e3be6c30e623}">
          <xlrd:rvb i="1028"/>
        </ext>
      </extLst>
    </bk>
    <bk>
      <extLst>
        <ext uri="{3e2802c4-a4d2-4d8b-9148-e3be6c30e623}">
          <xlrd:rvb i="1029"/>
        </ext>
      </extLst>
    </bk>
    <bk>
      <extLst>
        <ext uri="{3e2802c4-a4d2-4d8b-9148-e3be6c30e623}">
          <xlrd:rvb i="1030"/>
        </ext>
      </extLst>
    </bk>
    <bk>
      <extLst>
        <ext uri="{3e2802c4-a4d2-4d8b-9148-e3be6c30e623}">
          <xlrd:rvb i="1031"/>
        </ext>
      </extLst>
    </bk>
    <bk>
      <extLst>
        <ext uri="{3e2802c4-a4d2-4d8b-9148-e3be6c30e623}">
          <xlrd:rvb i="1032"/>
        </ext>
      </extLst>
    </bk>
    <bk>
      <extLst>
        <ext uri="{3e2802c4-a4d2-4d8b-9148-e3be6c30e623}">
          <xlrd:rvb i="1033"/>
        </ext>
      </extLst>
    </bk>
    <bk>
      <extLst>
        <ext uri="{3e2802c4-a4d2-4d8b-9148-e3be6c30e623}">
          <xlrd:rvb i="1034"/>
        </ext>
      </extLst>
    </bk>
    <bk>
      <extLst>
        <ext uri="{3e2802c4-a4d2-4d8b-9148-e3be6c30e623}">
          <xlrd:rvb i="1035"/>
        </ext>
      </extLst>
    </bk>
    <bk>
      <extLst>
        <ext uri="{3e2802c4-a4d2-4d8b-9148-e3be6c30e623}">
          <xlrd:rvb i="1036"/>
        </ext>
      </extLst>
    </bk>
    <bk>
      <extLst>
        <ext uri="{3e2802c4-a4d2-4d8b-9148-e3be6c30e623}">
          <xlrd:rvb i="1037"/>
        </ext>
      </extLst>
    </bk>
    <bk>
      <extLst>
        <ext uri="{3e2802c4-a4d2-4d8b-9148-e3be6c30e623}">
          <xlrd:rvb i="1038"/>
        </ext>
      </extLst>
    </bk>
    <bk>
      <extLst>
        <ext uri="{3e2802c4-a4d2-4d8b-9148-e3be6c30e623}">
          <xlrd:rvb i="1039"/>
        </ext>
      </extLst>
    </bk>
    <bk>
      <extLst>
        <ext uri="{3e2802c4-a4d2-4d8b-9148-e3be6c30e623}">
          <xlrd:rvb i="1040"/>
        </ext>
      </extLst>
    </bk>
    <bk>
      <extLst>
        <ext uri="{3e2802c4-a4d2-4d8b-9148-e3be6c30e623}">
          <xlrd:rvb i="1041"/>
        </ext>
      </extLst>
    </bk>
    <bk>
      <extLst>
        <ext uri="{3e2802c4-a4d2-4d8b-9148-e3be6c30e623}">
          <xlrd:rvb i="1042"/>
        </ext>
      </extLst>
    </bk>
    <bk>
      <extLst>
        <ext uri="{3e2802c4-a4d2-4d8b-9148-e3be6c30e623}">
          <xlrd:rvb i="1043"/>
        </ext>
      </extLst>
    </bk>
    <bk>
      <extLst>
        <ext uri="{3e2802c4-a4d2-4d8b-9148-e3be6c30e623}">
          <xlrd:rvb i="1044"/>
        </ext>
      </extLst>
    </bk>
    <bk>
      <extLst>
        <ext uri="{3e2802c4-a4d2-4d8b-9148-e3be6c30e623}">
          <xlrd:rvb i="1045"/>
        </ext>
      </extLst>
    </bk>
    <bk>
      <extLst>
        <ext uri="{3e2802c4-a4d2-4d8b-9148-e3be6c30e623}">
          <xlrd:rvb i="1046"/>
        </ext>
      </extLst>
    </bk>
    <bk>
      <extLst>
        <ext uri="{3e2802c4-a4d2-4d8b-9148-e3be6c30e623}">
          <xlrd:rvb i="1047"/>
        </ext>
      </extLst>
    </bk>
    <bk>
      <extLst>
        <ext uri="{3e2802c4-a4d2-4d8b-9148-e3be6c30e623}">
          <xlrd:rvb i="1048"/>
        </ext>
      </extLst>
    </bk>
    <bk>
      <extLst>
        <ext uri="{3e2802c4-a4d2-4d8b-9148-e3be6c30e623}">
          <xlrd:rvb i="1049"/>
        </ext>
      </extLst>
    </bk>
    <bk>
      <extLst>
        <ext uri="{3e2802c4-a4d2-4d8b-9148-e3be6c30e623}">
          <xlrd:rvb i="1050"/>
        </ext>
      </extLst>
    </bk>
    <bk>
      <extLst>
        <ext uri="{3e2802c4-a4d2-4d8b-9148-e3be6c30e623}">
          <xlrd:rvb i="1051"/>
        </ext>
      </extLst>
    </bk>
    <bk>
      <extLst>
        <ext uri="{3e2802c4-a4d2-4d8b-9148-e3be6c30e623}">
          <xlrd:rvb i="1052"/>
        </ext>
      </extLst>
    </bk>
    <bk>
      <extLst>
        <ext uri="{3e2802c4-a4d2-4d8b-9148-e3be6c30e623}">
          <xlrd:rvb i="1053"/>
        </ext>
      </extLst>
    </bk>
    <bk>
      <extLst>
        <ext uri="{3e2802c4-a4d2-4d8b-9148-e3be6c30e623}">
          <xlrd:rvb i="1054"/>
        </ext>
      </extLst>
    </bk>
    <bk>
      <extLst>
        <ext uri="{3e2802c4-a4d2-4d8b-9148-e3be6c30e623}">
          <xlrd:rvb i="1055"/>
        </ext>
      </extLst>
    </bk>
    <bk>
      <extLst>
        <ext uri="{3e2802c4-a4d2-4d8b-9148-e3be6c30e623}">
          <xlrd:rvb i="1056"/>
        </ext>
      </extLst>
    </bk>
    <bk>
      <extLst>
        <ext uri="{3e2802c4-a4d2-4d8b-9148-e3be6c30e623}">
          <xlrd:rvb i="1057"/>
        </ext>
      </extLst>
    </bk>
    <bk>
      <extLst>
        <ext uri="{3e2802c4-a4d2-4d8b-9148-e3be6c30e623}">
          <xlrd:rvb i="1058"/>
        </ext>
      </extLst>
    </bk>
    <bk>
      <extLst>
        <ext uri="{3e2802c4-a4d2-4d8b-9148-e3be6c30e623}">
          <xlrd:rvb i="1059"/>
        </ext>
      </extLst>
    </bk>
    <bk>
      <extLst>
        <ext uri="{3e2802c4-a4d2-4d8b-9148-e3be6c30e623}">
          <xlrd:rvb i="1060"/>
        </ext>
      </extLst>
    </bk>
    <bk>
      <extLst>
        <ext uri="{3e2802c4-a4d2-4d8b-9148-e3be6c30e623}">
          <xlrd:rvb i="1061"/>
        </ext>
      </extLst>
    </bk>
    <bk>
      <extLst>
        <ext uri="{3e2802c4-a4d2-4d8b-9148-e3be6c30e623}">
          <xlrd:rvb i="1062"/>
        </ext>
      </extLst>
    </bk>
    <bk>
      <extLst>
        <ext uri="{3e2802c4-a4d2-4d8b-9148-e3be6c30e623}">
          <xlrd:rvb i="1063"/>
        </ext>
      </extLst>
    </bk>
    <bk>
      <extLst>
        <ext uri="{3e2802c4-a4d2-4d8b-9148-e3be6c30e623}">
          <xlrd:rvb i="1064"/>
        </ext>
      </extLst>
    </bk>
    <bk>
      <extLst>
        <ext uri="{3e2802c4-a4d2-4d8b-9148-e3be6c30e623}">
          <xlrd:rvb i="1065"/>
        </ext>
      </extLst>
    </bk>
    <bk>
      <extLst>
        <ext uri="{3e2802c4-a4d2-4d8b-9148-e3be6c30e623}">
          <xlrd:rvb i="1066"/>
        </ext>
      </extLst>
    </bk>
    <bk>
      <extLst>
        <ext uri="{3e2802c4-a4d2-4d8b-9148-e3be6c30e623}">
          <xlrd:rvb i="1067"/>
        </ext>
      </extLst>
    </bk>
    <bk>
      <extLst>
        <ext uri="{3e2802c4-a4d2-4d8b-9148-e3be6c30e623}">
          <xlrd:rvb i="1068"/>
        </ext>
      </extLst>
    </bk>
    <bk>
      <extLst>
        <ext uri="{3e2802c4-a4d2-4d8b-9148-e3be6c30e623}">
          <xlrd:rvb i="1069"/>
        </ext>
      </extLst>
    </bk>
    <bk>
      <extLst>
        <ext uri="{3e2802c4-a4d2-4d8b-9148-e3be6c30e623}">
          <xlrd:rvb i="1070"/>
        </ext>
      </extLst>
    </bk>
    <bk>
      <extLst>
        <ext uri="{3e2802c4-a4d2-4d8b-9148-e3be6c30e623}">
          <xlrd:rvb i="1071"/>
        </ext>
      </extLst>
    </bk>
    <bk>
      <extLst>
        <ext uri="{3e2802c4-a4d2-4d8b-9148-e3be6c30e623}">
          <xlrd:rvb i="1072"/>
        </ext>
      </extLst>
    </bk>
    <bk>
      <extLst>
        <ext uri="{3e2802c4-a4d2-4d8b-9148-e3be6c30e623}">
          <xlrd:rvb i="1073"/>
        </ext>
      </extLst>
    </bk>
    <bk>
      <extLst>
        <ext uri="{3e2802c4-a4d2-4d8b-9148-e3be6c30e623}">
          <xlrd:rvb i="1074"/>
        </ext>
      </extLst>
    </bk>
    <bk>
      <extLst>
        <ext uri="{3e2802c4-a4d2-4d8b-9148-e3be6c30e623}">
          <xlrd:rvb i="1075"/>
        </ext>
      </extLst>
    </bk>
    <bk>
      <extLst>
        <ext uri="{3e2802c4-a4d2-4d8b-9148-e3be6c30e623}">
          <xlrd:rvb i="1076"/>
        </ext>
      </extLst>
    </bk>
    <bk>
      <extLst>
        <ext uri="{3e2802c4-a4d2-4d8b-9148-e3be6c30e623}">
          <xlrd:rvb i="1077"/>
        </ext>
      </extLst>
    </bk>
    <bk>
      <extLst>
        <ext uri="{3e2802c4-a4d2-4d8b-9148-e3be6c30e623}">
          <xlrd:rvb i="1078"/>
        </ext>
      </extLst>
    </bk>
    <bk>
      <extLst>
        <ext uri="{3e2802c4-a4d2-4d8b-9148-e3be6c30e623}">
          <xlrd:rvb i="1079"/>
        </ext>
      </extLst>
    </bk>
    <bk>
      <extLst>
        <ext uri="{3e2802c4-a4d2-4d8b-9148-e3be6c30e623}">
          <xlrd:rvb i="1080"/>
        </ext>
      </extLst>
    </bk>
    <bk>
      <extLst>
        <ext uri="{3e2802c4-a4d2-4d8b-9148-e3be6c30e623}">
          <xlrd:rvb i="1081"/>
        </ext>
      </extLst>
    </bk>
    <bk>
      <extLst>
        <ext uri="{3e2802c4-a4d2-4d8b-9148-e3be6c30e623}">
          <xlrd:rvb i="1082"/>
        </ext>
      </extLst>
    </bk>
    <bk>
      <extLst>
        <ext uri="{3e2802c4-a4d2-4d8b-9148-e3be6c30e623}">
          <xlrd:rvb i="1083"/>
        </ext>
      </extLst>
    </bk>
    <bk>
      <extLst>
        <ext uri="{3e2802c4-a4d2-4d8b-9148-e3be6c30e623}">
          <xlrd:rvb i="1084"/>
        </ext>
      </extLst>
    </bk>
    <bk>
      <extLst>
        <ext uri="{3e2802c4-a4d2-4d8b-9148-e3be6c30e623}">
          <xlrd:rvb i="1085"/>
        </ext>
      </extLst>
    </bk>
    <bk>
      <extLst>
        <ext uri="{3e2802c4-a4d2-4d8b-9148-e3be6c30e623}">
          <xlrd:rvb i="1086"/>
        </ext>
      </extLst>
    </bk>
    <bk>
      <extLst>
        <ext uri="{3e2802c4-a4d2-4d8b-9148-e3be6c30e623}">
          <xlrd:rvb i="1087"/>
        </ext>
      </extLst>
    </bk>
    <bk>
      <extLst>
        <ext uri="{3e2802c4-a4d2-4d8b-9148-e3be6c30e623}">
          <xlrd:rvb i="1088"/>
        </ext>
      </extLst>
    </bk>
    <bk>
      <extLst>
        <ext uri="{3e2802c4-a4d2-4d8b-9148-e3be6c30e623}">
          <xlrd:rvb i="1089"/>
        </ext>
      </extLst>
    </bk>
    <bk>
      <extLst>
        <ext uri="{3e2802c4-a4d2-4d8b-9148-e3be6c30e623}">
          <xlrd:rvb i="1090"/>
        </ext>
      </extLst>
    </bk>
    <bk>
      <extLst>
        <ext uri="{3e2802c4-a4d2-4d8b-9148-e3be6c30e623}">
          <xlrd:rvb i="1091"/>
        </ext>
      </extLst>
    </bk>
    <bk>
      <extLst>
        <ext uri="{3e2802c4-a4d2-4d8b-9148-e3be6c30e623}">
          <xlrd:rvb i="1092"/>
        </ext>
      </extLst>
    </bk>
    <bk>
      <extLst>
        <ext uri="{3e2802c4-a4d2-4d8b-9148-e3be6c30e623}">
          <xlrd:rvb i="1093"/>
        </ext>
      </extLst>
    </bk>
    <bk>
      <extLst>
        <ext uri="{3e2802c4-a4d2-4d8b-9148-e3be6c30e623}">
          <xlrd:rvb i="1094"/>
        </ext>
      </extLst>
    </bk>
    <bk>
      <extLst>
        <ext uri="{3e2802c4-a4d2-4d8b-9148-e3be6c30e623}">
          <xlrd:rvb i="1095"/>
        </ext>
      </extLst>
    </bk>
    <bk>
      <extLst>
        <ext uri="{3e2802c4-a4d2-4d8b-9148-e3be6c30e623}">
          <xlrd:rvb i="1096"/>
        </ext>
      </extLst>
    </bk>
    <bk>
      <extLst>
        <ext uri="{3e2802c4-a4d2-4d8b-9148-e3be6c30e623}">
          <xlrd:rvb i="1097"/>
        </ext>
      </extLst>
    </bk>
    <bk>
      <extLst>
        <ext uri="{3e2802c4-a4d2-4d8b-9148-e3be6c30e623}">
          <xlrd:rvb i="1098"/>
        </ext>
      </extLst>
    </bk>
    <bk>
      <extLst>
        <ext uri="{3e2802c4-a4d2-4d8b-9148-e3be6c30e623}">
          <xlrd:rvb i="1099"/>
        </ext>
      </extLst>
    </bk>
    <bk>
      <extLst>
        <ext uri="{3e2802c4-a4d2-4d8b-9148-e3be6c30e623}">
          <xlrd:rvb i="1100"/>
        </ext>
      </extLst>
    </bk>
    <bk>
      <extLst>
        <ext uri="{3e2802c4-a4d2-4d8b-9148-e3be6c30e623}">
          <xlrd:rvb i="1101"/>
        </ext>
      </extLst>
    </bk>
    <bk>
      <extLst>
        <ext uri="{3e2802c4-a4d2-4d8b-9148-e3be6c30e623}">
          <xlrd:rvb i="1102"/>
        </ext>
      </extLst>
    </bk>
    <bk>
      <extLst>
        <ext uri="{3e2802c4-a4d2-4d8b-9148-e3be6c30e623}">
          <xlrd:rvb i="1103"/>
        </ext>
      </extLst>
    </bk>
    <bk>
      <extLst>
        <ext uri="{3e2802c4-a4d2-4d8b-9148-e3be6c30e623}">
          <xlrd:rvb i="1104"/>
        </ext>
      </extLst>
    </bk>
    <bk>
      <extLst>
        <ext uri="{3e2802c4-a4d2-4d8b-9148-e3be6c30e623}">
          <xlrd:rvb i="1105"/>
        </ext>
      </extLst>
    </bk>
    <bk>
      <extLst>
        <ext uri="{3e2802c4-a4d2-4d8b-9148-e3be6c30e623}">
          <xlrd:rvb i="1106"/>
        </ext>
      </extLst>
    </bk>
    <bk>
      <extLst>
        <ext uri="{3e2802c4-a4d2-4d8b-9148-e3be6c30e623}">
          <xlrd:rvb i="1107"/>
        </ext>
      </extLst>
    </bk>
    <bk>
      <extLst>
        <ext uri="{3e2802c4-a4d2-4d8b-9148-e3be6c30e623}">
          <xlrd:rvb i="1108"/>
        </ext>
      </extLst>
    </bk>
    <bk>
      <extLst>
        <ext uri="{3e2802c4-a4d2-4d8b-9148-e3be6c30e623}">
          <xlrd:rvb i="1109"/>
        </ext>
      </extLst>
    </bk>
    <bk>
      <extLst>
        <ext uri="{3e2802c4-a4d2-4d8b-9148-e3be6c30e623}">
          <xlrd:rvb i="1110"/>
        </ext>
      </extLst>
    </bk>
    <bk>
      <extLst>
        <ext uri="{3e2802c4-a4d2-4d8b-9148-e3be6c30e623}">
          <xlrd:rvb i="1111"/>
        </ext>
      </extLst>
    </bk>
    <bk>
      <extLst>
        <ext uri="{3e2802c4-a4d2-4d8b-9148-e3be6c30e623}">
          <xlrd:rvb i="1112"/>
        </ext>
      </extLst>
    </bk>
    <bk>
      <extLst>
        <ext uri="{3e2802c4-a4d2-4d8b-9148-e3be6c30e623}">
          <xlrd:rvb i="1113"/>
        </ext>
      </extLst>
    </bk>
    <bk>
      <extLst>
        <ext uri="{3e2802c4-a4d2-4d8b-9148-e3be6c30e623}">
          <xlrd:rvb i="1114"/>
        </ext>
      </extLst>
    </bk>
    <bk>
      <extLst>
        <ext uri="{3e2802c4-a4d2-4d8b-9148-e3be6c30e623}">
          <xlrd:rvb i="1115"/>
        </ext>
      </extLst>
    </bk>
    <bk>
      <extLst>
        <ext uri="{3e2802c4-a4d2-4d8b-9148-e3be6c30e623}">
          <xlrd:rvb i="1116"/>
        </ext>
      </extLst>
    </bk>
    <bk>
      <extLst>
        <ext uri="{3e2802c4-a4d2-4d8b-9148-e3be6c30e623}">
          <xlrd:rvb i="1117"/>
        </ext>
      </extLst>
    </bk>
    <bk>
      <extLst>
        <ext uri="{3e2802c4-a4d2-4d8b-9148-e3be6c30e623}">
          <xlrd:rvb i="1118"/>
        </ext>
      </extLst>
    </bk>
    <bk>
      <extLst>
        <ext uri="{3e2802c4-a4d2-4d8b-9148-e3be6c30e623}">
          <xlrd:rvb i="1119"/>
        </ext>
      </extLst>
    </bk>
    <bk>
      <extLst>
        <ext uri="{3e2802c4-a4d2-4d8b-9148-e3be6c30e623}">
          <xlrd:rvb i="1120"/>
        </ext>
      </extLst>
    </bk>
    <bk>
      <extLst>
        <ext uri="{3e2802c4-a4d2-4d8b-9148-e3be6c30e623}">
          <xlrd:rvb i="1121"/>
        </ext>
      </extLst>
    </bk>
    <bk>
      <extLst>
        <ext uri="{3e2802c4-a4d2-4d8b-9148-e3be6c30e623}">
          <xlrd:rvb i="1122"/>
        </ext>
      </extLst>
    </bk>
    <bk>
      <extLst>
        <ext uri="{3e2802c4-a4d2-4d8b-9148-e3be6c30e623}">
          <xlrd:rvb i="1123"/>
        </ext>
      </extLst>
    </bk>
    <bk>
      <extLst>
        <ext uri="{3e2802c4-a4d2-4d8b-9148-e3be6c30e623}">
          <xlrd:rvb i="1124"/>
        </ext>
      </extLst>
    </bk>
    <bk>
      <extLst>
        <ext uri="{3e2802c4-a4d2-4d8b-9148-e3be6c30e623}">
          <xlrd:rvb i="1125"/>
        </ext>
      </extLst>
    </bk>
    <bk>
      <extLst>
        <ext uri="{3e2802c4-a4d2-4d8b-9148-e3be6c30e623}">
          <xlrd:rvb i="1126"/>
        </ext>
      </extLst>
    </bk>
    <bk>
      <extLst>
        <ext uri="{3e2802c4-a4d2-4d8b-9148-e3be6c30e623}">
          <xlrd:rvb i="1127"/>
        </ext>
      </extLst>
    </bk>
    <bk>
      <extLst>
        <ext uri="{3e2802c4-a4d2-4d8b-9148-e3be6c30e623}">
          <xlrd:rvb i="1128"/>
        </ext>
      </extLst>
    </bk>
    <bk>
      <extLst>
        <ext uri="{3e2802c4-a4d2-4d8b-9148-e3be6c30e623}">
          <xlrd:rvb i="1129"/>
        </ext>
      </extLst>
    </bk>
    <bk>
      <extLst>
        <ext uri="{3e2802c4-a4d2-4d8b-9148-e3be6c30e623}">
          <xlrd:rvb i="1130"/>
        </ext>
      </extLst>
    </bk>
    <bk>
      <extLst>
        <ext uri="{3e2802c4-a4d2-4d8b-9148-e3be6c30e623}">
          <xlrd:rvb i="1131"/>
        </ext>
      </extLst>
    </bk>
    <bk>
      <extLst>
        <ext uri="{3e2802c4-a4d2-4d8b-9148-e3be6c30e623}">
          <xlrd:rvb i="1132"/>
        </ext>
      </extLst>
    </bk>
    <bk>
      <extLst>
        <ext uri="{3e2802c4-a4d2-4d8b-9148-e3be6c30e623}">
          <xlrd:rvb i="1133"/>
        </ext>
      </extLst>
    </bk>
    <bk>
      <extLst>
        <ext uri="{3e2802c4-a4d2-4d8b-9148-e3be6c30e623}">
          <xlrd:rvb i="1134"/>
        </ext>
      </extLst>
    </bk>
    <bk>
      <extLst>
        <ext uri="{3e2802c4-a4d2-4d8b-9148-e3be6c30e623}">
          <xlrd:rvb i="1135"/>
        </ext>
      </extLst>
    </bk>
    <bk>
      <extLst>
        <ext uri="{3e2802c4-a4d2-4d8b-9148-e3be6c30e623}">
          <xlrd:rvb i="1136"/>
        </ext>
      </extLst>
    </bk>
    <bk>
      <extLst>
        <ext uri="{3e2802c4-a4d2-4d8b-9148-e3be6c30e623}">
          <xlrd:rvb i="1137"/>
        </ext>
      </extLst>
    </bk>
    <bk>
      <extLst>
        <ext uri="{3e2802c4-a4d2-4d8b-9148-e3be6c30e623}">
          <xlrd:rvb i="1138"/>
        </ext>
      </extLst>
    </bk>
    <bk>
      <extLst>
        <ext uri="{3e2802c4-a4d2-4d8b-9148-e3be6c30e623}">
          <xlrd:rvb i="1139"/>
        </ext>
      </extLst>
    </bk>
    <bk>
      <extLst>
        <ext uri="{3e2802c4-a4d2-4d8b-9148-e3be6c30e623}">
          <xlrd:rvb i="1140"/>
        </ext>
      </extLst>
    </bk>
    <bk>
      <extLst>
        <ext uri="{3e2802c4-a4d2-4d8b-9148-e3be6c30e623}">
          <xlrd:rvb i="1141"/>
        </ext>
      </extLst>
    </bk>
    <bk>
      <extLst>
        <ext uri="{3e2802c4-a4d2-4d8b-9148-e3be6c30e623}">
          <xlrd:rvb i="1142"/>
        </ext>
      </extLst>
    </bk>
    <bk>
      <extLst>
        <ext uri="{3e2802c4-a4d2-4d8b-9148-e3be6c30e623}">
          <xlrd:rvb i="1143"/>
        </ext>
      </extLst>
    </bk>
    <bk>
      <extLst>
        <ext uri="{3e2802c4-a4d2-4d8b-9148-e3be6c30e623}">
          <xlrd:rvb i="1144"/>
        </ext>
      </extLst>
    </bk>
    <bk>
      <extLst>
        <ext uri="{3e2802c4-a4d2-4d8b-9148-e3be6c30e623}">
          <xlrd:rvb i="1145"/>
        </ext>
      </extLst>
    </bk>
    <bk>
      <extLst>
        <ext uri="{3e2802c4-a4d2-4d8b-9148-e3be6c30e623}">
          <xlrd:rvb i="1146"/>
        </ext>
      </extLst>
    </bk>
    <bk>
      <extLst>
        <ext uri="{3e2802c4-a4d2-4d8b-9148-e3be6c30e623}">
          <xlrd:rvb i="1147"/>
        </ext>
      </extLst>
    </bk>
    <bk>
      <extLst>
        <ext uri="{3e2802c4-a4d2-4d8b-9148-e3be6c30e623}">
          <xlrd:rvb i="1148"/>
        </ext>
      </extLst>
    </bk>
    <bk>
      <extLst>
        <ext uri="{3e2802c4-a4d2-4d8b-9148-e3be6c30e623}">
          <xlrd:rvb i="1149"/>
        </ext>
      </extLst>
    </bk>
    <bk>
      <extLst>
        <ext uri="{3e2802c4-a4d2-4d8b-9148-e3be6c30e623}">
          <xlrd:rvb i="1150"/>
        </ext>
      </extLst>
    </bk>
    <bk>
      <extLst>
        <ext uri="{3e2802c4-a4d2-4d8b-9148-e3be6c30e623}">
          <xlrd:rvb i="1151"/>
        </ext>
      </extLst>
    </bk>
    <bk>
      <extLst>
        <ext uri="{3e2802c4-a4d2-4d8b-9148-e3be6c30e623}">
          <xlrd:rvb i="1152"/>
        </ext>
      </extLst>
    </bk>
    <bk>
      <extLst>
        <ext uri="{3e2802c4-a4d2-4d8b-9148-e3be6c30e623}">
          <xlrd:rvb i="1153"/>
        </ext>
      </extLst>
    </bk>
    <bk>
      <extLst>
        <ext uri="{3e2802c4-a4d2-4d8b-9148-e3be6c30e623}">
          <xlrd:rvb i="1154"/>
        </ext>
      </extLst>
    </bk>
    <bk>
      <extLst>
        <ext uri="{3e2802c4-a4d2-4d8b-9148-e3be6c30e623}">
          <xlrd:rvb i="1155"/>
        </ext>
      </extLst>
    </bk>
    <bk>
      <extLst>
        <ext uri="{3e2802c4-a4d2-4d8b-9148-e3be6c30e623}">
          <xlrd:rvb i="1156"/>
        </ext>
      </extLst>
    </bk>
    <bk>
      <extLst>
        <ext uri="{3e2802c4-a4d2-4d8b-9148-e3be6c30e623}">
          <xlrd:rvb i="1157"/>
        </ext>
      </extLst>
    </bk>
    <bk>
      <extLst>
        <ext uri="{3e2802c4-a4d2-4d8b-9148-e3be6c30e623}">
          <xlrd:rvb i="1158"/>
        </ext>
      </extLst>
    </bk>
    <bk>
      <extLst>
        <ext uri="{3e2802c4-a4d2-4d8b-9148-e3be6c30e623}">
          <xlrd:rvb i="1159"/>
        </ext>
      </extLst>
    </bk>
    <bk>
      <extLst>
        <ext uri="{3e2802c4-a4d2-4d8b-9148-e3be6c30e623}">
          <xlrd:rvb i="1160"/>
        </ext>
      </extLst>
    </bk>
    <bk>
      <extLst>
        <ext uri="{3e2802c4-a4d2-4d8b-9148-e3be6c30e623}">
          <xlrd:rvb i="1161"/>
        </ext>
      </extLst>
    </bk>
    <bk>
      <extLst>
        <ext uri="{3e2802c4-a4d2-4d8b-9148-e3be6c30e623}">
          <xlrd:rvb i="1162"/>
        </ext>
      </extLst>
    </bk>
    <bk>
      <extLst>
        <ext uri="{3e2802c4-a4d2-4d8b-9148-e3be6c30e623}">
          <xlrd:rvb i="1163"/>
        </ext>
      </extLst>
    </bk>
    <bk>
      <extLst>
        <ext uri="{3e2802c4-a4d2-4d8b-9148-e3be6c30e623}">
          <xlrd:rvb i="1164"/>
        </ext>
      </extLst>
    </bk>
    <bk>
      <extLst>
        <ext uri="{3e2802c4-a4d2-4d8b-9148-e3be6c30e623}">
          <xlrd:rvb i="1165"/>
        </ext>
      </extLst>
    </bk>
    <bk>
      <extLst>
        <ext uri="{3e2802c4-a4d2-4d8b-9148-e3be6c30e623}">
          <xlrd:rvb i="1166"/>
        </ext>
      </extLst>
    </bk>
    <bk>
      <extLst>
        <ext uri="{3e2802c4-a4d2-4d8b-9148-e3be6c30e623}">
          <xlrd:rvb i="1167"/>
        </ext>
      </extLst>
    </bk>
    <bk>
      <extLst>
        <ext uri="{3e2802c4-a4d2-4d8b-9148-e3be6c30e623}">
          <xlrd:rvb i="1168"/>
        </ext>
      </extLst>
    </bk>
    <bk>
      <extLst>
        <ext uri="{3e2802c4-a4d2-4d8b-9148-e3be6c30e623}">
          <xlrd:rvb i="1169"/>
        </ext>
      </extLst>
    </bk>
    <bk>
      <extLst>
        <ext uri="{3e2802c4-a4d2-4d8b-9148-e3be6c30e623}">
          <xlrd:rvb i="1170"/>
        </ext>
      </extLst>
    </bk>
    <bk>
      <extLst>
        <ext uri="{3e2802c4-a4d2-4d8b-9148-e3be6c30e623}">
          <xlrd:rvb i="1171"/>
        </ext>
      </extLst>
    </bk>
    <bk>
      <extLst>
        <ext uri="{3e2802c4-a4d2-4d8b-9148-e3be6c30e623}">
          <xlrd:rvb i="1172"/>
        </ext>
      </extLst>
    </bk>
    <bk>
      <extLst>
        <ext uri="{3e2802c4-a4d2-4d8b-9148-e3be6c30e623}">
          <xlrd:rvb i="1173"/>
        </ext>
      </extLst>
    </bk>
    <bk>
      <extLst>
        <ext uri="{3e2802c4-a4d2-4d8b-9148-e3be6c30e623}">
          <xlrd:rvb i="1174"/>
        </ext>
      </extLst>
    </bk>
    <bk>
      <extLst>
        <ext uri="{3e2802c4-a4d2-4d8b-9148-e3be6c30e623}">
          <xlrd:rvb i="1175"/>
        </ext>
      </extLst>
    </bk>
    <bk>
      <extLst>
        <ext uri="{3e2802c4-a4d2-4d8b-9148-e3be6c30e623}">
          <xlrd:rvb i="1176"/>
        </ext>
      </extLst>
    </bk>
    <bk>
      <extLst>
        <ext uri="{3e2802c4-a4d2-4d8b-9148-e3be6c30e623}">
          <xlrd:rvb i="1177"/>
        </ext>
      </extLst>
    </bk>
    <bk>
      <extLst>
        <ext uri="{3e2802c4-a4d2-4d8b-9148-e3be6c30e623}">
          <xlrd:rvb i="1178"/>
        </ext>
      </extLst>
    </bk>
    <bk>
      <extLst>
        <ext uri="{3e2802c4-a4d2-4d8b-9148-e3be6c30e623}">
          <xlrd:rvb i="1179"/>
        </ext>
      </extLst>
    </bk>
    <bk>
      <extLst>
        <ext uri="{3e2802c4-a4d2-4d8b-9148-e3be6c30e623}">
          <xlrd:rvb i="1180"/>
        </ext>
      </extLst>
    </bk>
    <bk>
      <extLst>
        <ext uri="{3e2802c4-a4d2-4d8b-9148-e3be6c30e623}">
          <xlrd:rvb i="1181"/>
        </ext>
      </extLst>
    </bk>
    <bk>
      <extLst>
        <ext uri="{3e2802c4-a4d2-4d8b-9148-e3be6c30e623}">
          <xlrd:rvb i="1182"/>
        </ext>
      </extLst>
    </bk>
    <bk>
      <extLst>
        <ext uri="{3e2802c4-a4d2-4d8b-9148-e3be6c30e623}">
          <xlrd:rvb i="1183"/>
        </ext>
      </extLst>
    </bk>
    <bk>
      <extLst>
        <ext uri="{3e2802c4-a4d2-4d8b-9148-e3be6c30e623}">
          <xlrd:rvb i="1184"/>
        </ext>
      </extLst>
    </bk>
    <bk>
      <extLst>
        <ext uri="{3e2802c4-a4d2-4d8b-9148-e3be6c30e623}">
          <xlrd:rvb i="1185"/>
        </ext>
      </extLst>
    </bk>
    <bk>
      <extLst>
        <ext uri="{3e2802c4-a4d2-4d8b-9148-e3be6c30e623}">
          <xlrd:rvb i="1186"/>
        </ext>
      </extLst>
    </bk>
    <bk>
      <extLst>
        <ext uri="{3e2802c4-a4d2-4d8b-9148-e3be6c30e623}">
          <xlrd:rvb i="1187"/>
        </ext>
      </extLst>
    </bk>
    <bk>
      <extLst>
        <ext uri="{3e2802c4-a4d2-4d8b-9148-e3be6c30e623}">
          <xlrd:rvb i="1188"/>
        </ext>
      </extLst>
    </bk>
    <bk>
      <extLst>
        <ext uri="{3e2802c4-a4d2-4d8b-9148-e3be6c30e623}">
          <xlrd:rvb i="1189"/>
        </ext>
      </extLst>
    </bk>
    <bk>
      <extLst>
        <ext uri="{3e2802c4-a4d2-4d8b-9148-e3be6c30e623}">
          <xlrd:rvb i="1190"/>
        </ext>
      </extLst>
    </bk>
    <bk>
      <extLst>
        <ext uri="{3e2802c4-a4d2-4d8b-9148-e3be6c30e623}">
          <xlrd:rvb i="1191"/>
        </ext>
      </extLst>
    </bk>
    <bk>
      <extLst>
        <ext uri="{3e2802c4-a4d2-4d8b-9148-e3be6c30e623}">
          <xlrd:rvb i="1192"/>
        </ext>
      </extLst>
    </bk>
    <bk>
      <extLst>
        <ext uri="{3e2802c4-a4d2-4d8b-9148-e3be6c30e623}">
          <xlrd:rvb i="1193"/>
        </ext>
      </extLst>
    </bk>
    <bk>
      <extLst>
        <ext uri="{3e2802c4-a4d2-4d8b-9148-e3be6c30e623}">
          <xlrd:rvb i="1194"/>
        </ext>
      </extLst>
    </bk>
    <bk>
      <extLst>
        <ext uri="{3e2802c4-a4d2-4d8b-9148-e3be6c30e623}">
          <xlrd:rvb i="1195"/>
        </ext>
      </extLst>
    </bk>
    <bk>
      <extLst>
        <ext uri="{3e2802c4-a4d2-4d8b-9148-e3be6c30e623}">
          <xlrd:rvb i="1196"/>
        </ext>
      </extLst>
    </bk>
    <bk>
      <extLst>
        <ext uri="{3e2802c4-a4d2-4d8b-9148-e3be6c30e623}">
          <xlrd:rvb i="1197"/>
        </ext>
      </extLst>
    </bk>
    <bk>
      <extLst>
        <ext uri="{3e2802c4-a4d2-4d8b-9148-e3be6c30e623}">
          <xlrd:rvb i="1198"/>
        </ext>
      </extLst>
    </bk>
    <bk>
      <extLst>
        <ext uri="{3e2802c4-a4d2-4d8b-9148-e3be6c30e623}">
          <xlrd:rvb i="1199"/>
        </ext>
      </extLst>
    </bk>
    <bk>
      <extLst>
        <ext uri="{3e2802c4-a4d2-4d8b-9148-e3be6c30e623}">
          <xlrd:rvb i="1200"/>
        </ext>
      </extLst>
    </bk>
    <bk>
      <extLst>
        <ext uri="{3e2802c4-a4d2-4d8b-9148-e3be6c30e623}">
          <xlrd:rvb i="1201"/>
        </ext>
      </extLst>
    </bk>
    <bk>
      <extLst>
        <ext uri="{3e2802c4-a4d2-4d8b-9148-e3be6c30e623}">
          <xlrd:rvb i="1202"/>
        </ext>
      </extLst>
    </bk>
    <bk>
      <extLst>
        <ext uri="{3e2802c4-a4d2-4d8b-9148-e3be6c30e623}">
          <xlrd:rvb i="1203"/>
        </ext>
      </extLst>
    </bk>
    <bk>
      <extLst>
        <ext uri="{3e2802c4-a4d2-4d8b-9148-e3be6c30e623}">
          <xlrd:rvb i="1204"/>
        </ext>
      </extLst>
    </bk>
    <bk>
      <extLst>
        <ext uri="{3e2802c4-a4d2-4d8b-9148-e3be6c30e623}">
          <xlrd:rvb i="1205"/>
        </ext>
      </extLst>
    </bk>
    <bk>
      <extLst>
        <ext uri="{3e2802c4-a4d2-4d8b-9148-e3be6c30e623}">
          <xlrd:rvb i="1206"/>
        </ext>
      </extLst>
    </bk>
    <bk>
      <extLst>
        <ext uri="{3e2802c4-a4d2-4d8b-9148-e3be6c30e623}">
          <xlrd:rvb i="1207"/>
        </ext>
      </extLst>
    </bk>
    <bk>
      <extLst>
        <ext uri="{3e2802c4-a4d2-4d8b-9148-e3be6c30e623}">
          <xlrd:rvb i="1208"/>
        </ext>
      </extLst>
    </bk>
    <bk>
      <extLst>
        <ext uri="{3e2802c4-a4d2-4d8b-9148-e3be6c30e623}">
          <xlrd:rvb i="1209"/>
        </ext>
      </extLst>
    </bk>
    <bk>
      <extLst>
        <ext uri="{3e2802c4-a4d2-4d8b-9148-e3be6c30e623}">
          <xlrd:rvb i="1210"/>
        </ext>
      </extLst>
    </bk>
    <bk>
      <extLst>
        <ext uri="{3e2802c4-a4d2-4d8b-9148-e3be6c30e623}">
          <xlrd:rvb i="1211"/>
        </ext>
      </extLst>
    </bk>
    <bk>
      <extLst>
        <ext uri="{3e2802c4-a4d2-4d8b-9148-e3be6c30e623}">
          <xlrd:rvb i="1212"/>
        </ext>
      </extLst>
    </bk>
    <bk>
      <extLst>
        <ext uri="{3e2802c4-a4d2-4d8b-9148-e3be6c30e623}">
          <xlrd:rvb i="1213"/>
        </ext>
      </extLst>
    </bk>
    <bk>
      <extLst>
        <ext uri="{3e2802c4-a4d2-4d8b-9148-e3be6c30e623}">
          <xlrd:rvb i="1214"/>
        </ext>
      </extLst>
    </bk>
    <bk>
      <extLst>
        <ext uri="{3e2802c4-a4d2-4d8b-9148-e3be6c30e623}">
          <xlrd:rvb i="1215"/>
        </ext>
      </extLst>
    </bk>
    <bk>
      <extLst>
        <ext uri="{3e2802c4-a4d2-4d8b-9148-e3be6c30e623}">
          <xlrd:rvb i="1216"/>
        </ext>
      </extLst>
    </bk>
    <bk>
      <extLst>
        <ext uri="{3e2802c4-a4d2-4d8b-9148-e3be6c30e623}">
          <xlrd:rvb i="1217"/>
        </ext>
      </extLst>
    </bk>
    <bk>
      <extLst>
        <ext uri="{3e2802c4-a4d2-4d8b-9148-e3be6c30e623}">
          <xlrd:rvb i="1218"/>
        </ext>
      </extLst>
    </bk>
    <bk>
      <extLst>
        <ext uri="{3e2802c4-a4d2-4d8b-9148-e3be6c30e623}">
          <xlrd:rvb i="1219"/>
        </ext>
      </extLst>
    </bk>
    <bk>
      <extLst>
        <ext uri="{3e2802c4-a4d2-4d8b-9148-e3be6c30e623}">
          <xlrd:rvb i="1220"/>
        </ext>
      </extLst>
    </bk>
    <bk>
      <extLst>
        <ext uri="{3e2802c4-a4d2-4d8b-9148-e3be6c30e623}">
          <xlrd:rvb i="1221"/>
        </ext>
      </extLst>
    </bk>
    <bk>
      <extLst>
        <ext uri="{3e2802c4-a4d2-4d8b-9148-e3be6c30e623}">
          <xlrd:rvb i="1222"/>
        </ext>
      </extLst>
    </bk>
    <bk>
      <extLst>
        <ext uri="{3e2802c4-a4d2-4d8b-9148-e3be6c30e623}">
          <xlrd:rvb i="1223"/>
        </ext>
      </extLst>
    </bk>
    <bk>
      <extLst>
        <ext uri="{3e2802c4-a4d2-4d8b-9148-e3be6c30e623}">
          <xlrd:rvb i="1226"/>
        </ext>
      </extLst>
    </bk>
    <bk>
      <extLst>
        <ext uri="{3e2802c4-a4d2-4d8b-9148-e3be6c30e623}">
          <xlrd:rvb i="1227"/>
        </ext>
      </extLst>
    </bk>
    <bk>
      <extLst>
        <ext uri="{3e2802c4-a4d2-4d8b-9148-e3be6c30e623}">
          <xlrd:rvb i="1228"/>
        </ext>
      </extLst>
    </bk>
    <bk>
      <extLst>
        <ext uri="{3e2802c4-a4d2-4d8b-9148-e3be6c30e623}">
          <xlrd:rvb i="1229"/>
        </ext>
      </extLst>
    </bk>
    <bk>
      <extLst>
        <ext uri="{3e2802c4-a4d2-4d8b-9148-e3be6c30e623}">
          <xlrd:rvb i="1230"/>
        </ext>
      </extLst>
    </bk>
    <bk>
      <extLst>
        <ext uri="{3e2802c4-a4d2-4d8b-9148-e3be6c30e623}">
          <xlrd:rvb i="1231"/>
        </ext>
      </extLst>
    </bk>
    <bk>
      <extLst>
        <ext uri="{3e2802c4-a4d2-4d8b-9148-e3be6c30e623}">
          <xlrd:rvb i="1232"/>
        </ext>
      </extLst>
    </bk>
    <bk>
      <extLst>
        <ext uri="{3e2802c4-a4d2-4d8b-9148-e3be6c30e623}">
          <xlrd:rvb i="1233"/>
        </ext>
      </extLst>
    </bk>
    <bk>
      <extLst>
        <ext uri="{3e2802c4-a4d2-4d8b-9148-e3be6c30e623}">
          <xlrd:rvb i="1234"/>
        </ext>
      </extLst>
    </bk>
    <bk>
      <extLst>
        <ext uri="{3e2802c4-a4d2-4d8b-9148-e3be6c30e623}">
          <xlrd:rvb i="1235"/>
        </ext>
      </extLst>
    </bk>
    <bk>
      <extLst>
        <ext uri="{3e2802c4-a4d2-4d8b-9148-e3be6c30e623}">
          <xlrd:rvb i="1236"/>
        </ext>
      </extLst>
    </bk>
    <bk>
      <extLst>
        <ext uri="{3e2802c4-a4d2-4d8b-9148-e3be6c30e623}">
          <xlrd:rvb i="1237"/>
        </ext>
      </extLst>
    </bk>
    <bk>
      <extLst>
        <ext uri="{3e2802c4-a4d2-4d8b-9148-e3be6c30e623}">
          <xlrd:rvb i="1238"/>
        </ext>
      </extLst>
    </bk>
    <bk>
      <extLst>
        <ext uri="{3e2802c4-a4d2-4d8b-9148-e3be6c30e623}">
          <xlrd:rvb i="1239"/>
        </ext>
      </extLst>
    </bk>
    <bk>
      <extLst>
        <ext uri="{3e2802c4-a4d2-4d8b-9148-e3be6c30e623}">
          <xlrd:rvb i="1240"/>
        </ext>
      </extLst>
    </bk>
    <bk>
      <extLst>
        <ext uri="{3e2802c4-a4d2-4d8b-9148-e3be6c30e623}">
          <xlrd:rvb i="1241"/>
        </ext>
      </extLst>
    </bk>
    <bk>
      <extLst>
        <ext uri="{3e2802c4-a4d2-4d8b-9148-e3be6c30e623}">
          <xlrd:rvb i="1242"/>
        </ext>
      </extLst>
    </bk>
    <bk>
      <extLst>
        <ext uri="{3e2802c4-a4d2-4d8b-9148-e3be6c30e623}">
          <xlrd:rvb i="1243"/>
        </ext>
      </extLst>
    </bk>
    <bk>
      <extLst>
        <ext uri="{3e2802c4-a4d2-4d8b-9148-e3be6c30e623}">
          <xlrd:rvb i="1244"/>
        </ext>
      </extLst>
    </bk>
    <bk>
      <extLst>
        <ext uri="{3e2802c4-a4d2-4d8b-9148-e3be6c30e623}">
          <xlrd:rvb i="1245"/>
        </ext>
      </extLst>
    </bk>
    <bk>
      <extLst>
        <ext uri="{3e2802c4-a4d2-4d8b-9148-e3be6c30e623}">
          <xlrd:rvb i="1246"/>
        </ext>
      </extLst>
    </bk>
    <bk>
      <extLst>
        <ext uri="{3e2802c4-a4d2-4d8b-9148-e3be6c30e623}">
          <xlrd:rvb i="1247"/>
        </ext>
      </extLst>
    </bk>
    <bk>
      <extLst>
        <ext uri="{3e2802c4-a4d2-4d8b-9148-e3be6c30e623}">
          <xlrd:rvb i="1248"/>
        </ext>
      </extLst>
    </bk>
    <bk>
      <extLst>
        <ext uri="{3e2802c4-a4d2-4d8b-9148-e3be6c30e623}">
          <xlrd:rvb i="1249"/>
        </ext>
      </extLst>
    </bk>
    <bk>
      <extLst>
        <ext uri="{3e2802c4-a4d2-4d8b-9148-e3be6c30e623}">
          <xlrd:rvb i="1250"/>
        </ext>
      </extLst>
    </bk>
    <bk>
      <extLst>
        <ext uri="{3e2802c4-a4d2-4d8b-9148-e3be6c30e623}">
          <xlrd:rvb i="1251"/>
        </ext>
      </extLst>
    </bk>
    <bk>
      <extLst>
        <ext uri="{3e2802c4-a4d2-4d8b-9148-e3be6c30e623}">
          <xlrd:rvb i="1252"/>
        </ext>
      </extLst>
    </bk>
    <bk>
      <extLst>
        <ext uri="{3e2802c4-a4d2-4d8b-9148-e3be6c30e623}">
          <xlrd:rvb i="1253"/>
        </ext>
      </extLst>
    </bk>
    <bk>
      <extLst>
        <ext uri="{3e2802c4-a4d2-4d8b-9148-e3be6c30e623}">
          <xlrd:rvb i="1254"/>
        </ext>
      </extLst>
    </bk>
    <bk>
      <extLst>
        <ext uri="{3e2802c4-a4d2-4d8b-9148-e3be6c30e623}">
          <xlrd:rvb i="1255"/>
        </ext>
      </extLst>
    </bk>
    <bk>
      <extLst>
        <ext uri="{3e2802c4-a4d2-4d8b-9148-e3be6c30e623}">
          <xlrd:rvb i="1256"/>
        </ext>
      </extLst>
    </bk>
    <bk>
      <extLst>
        <ext uri="{3e2802c4-a4d2-4d8b-9148-e3be6c30e623}">
          <xlrd:rvb i="1257"/>
        </ext>
      </extLst>
    </bk>
    <bk>
      <extLst>
        <ext uri="{3e2802c4-a4d2-4d8b-9148-e3be6c30e623}">
          <xlrd:rvb i="1258"/>
        </ext>
      </extLst>
    </bk>
    <bk>
      <extLst>
        <ext uri="{3e2802c4-a4d2-4d8b-9148-e3be6c30e623}">
          <xlrd:rvb i="1259"/>
        </ext>
      </extLst>
    </bk>
    <bk>
      <extLst>
        <ext uri="{3e2802c4-a4d2-4d8b-9148-e3be6c30e623}">
          <xlrd:rvb i="1260"/>
        </ext>
      </extLst>
    </bk>
    <bk>
      <extLst>
        <ext uri="{3e2802c4-a4d2-4d8b-9148-e3be6c30e623}">
          <xlrd:rvb i="1261"/>
        </ext>
      </extLst>
    </bk>
    <bk>
      <extLst>
        <ext uri="{3e2802c4-a4d2-4d8b-9148-e3be6c30e623}">
          <xlrd:rvb i="1262"/>
        </ext>
      </extLst>
    </bk>
    <bk>
      <extLst>
        <ext uri="{3e2802c4-a4d2-4d8b-9148-e3be6c30e623}">
          <xlrd:rvb i="1263"/>
        </ext>
      </extLst>
    </bk>
    <bk>
      <extLst>
        <ext uri="{3e2802c4-a4d2-4d8b-9148-e3be6c30e623}">
          <xlrd:rvb i="1264"/>
        </ext>
      </extLst>
    </bk>
    <bk>
      <extLst>
        <ext uri="{3e2802c4-a4d2-4d8b-9148-e3be6c30e623}">
          <xlrd:rvb i="1265"/>
        </ext>
      </extLst>
    </bk>
    <bk>
      <extLst>
        <ext uri="{3e2802c4-a4d2-4d8b-9148-e3be6c30e623}">
          <xlrd:rvb i="1266"/>
        </ext>
      </extLst>
    </bk>
    <bk>
      <extLst>
        <ext uri="{3e2802c4-a4d2-4d8b-9148-e3be6c30e623}">
          <xlrd:rvb i="1267"/>
        </ext>
      </extLst>
    </bk>
    <bk>
      <extLst>
        <ext uri="{3e2802c4-a4d2-4d8b-9148-e3be6c30e623}">
          <xlrd:rvb i="1268"/>
        </ext>
      </extLst>
    </bk>
    <bk>
      <extLst>
        <ext uri="{3e2802c4-a4d2-4d8b-9148-e3be6c30e623}">
          <xlrd:rvb i="1269"/>
        </ext>
      </extLst>
    </bk>
    <bk>
      <extLst>
        <ext uri="{3e2802c4-a4d2-4d8b-9148-e3be6c30e623}">
          <xlrd:rvb i="1270"/>
        </ext>
      </extLst>
    </bk>
    <bk>
      <extLst>
        <ext uri="{3e2802c4-a4d2-4d8b-9148-e3be6c30e623}">
          <xlrd:rvb i="1271"/>
        </ext>
      </extLst>
    </bk>
    <bk>
      <extLst>
        <ext uri="{3e2802c4-a4d2-4d8b-9148-e3be6c30e623}">
          <xlrd:rvb i="1272"/>
        </ext>
      </extLst>
    </bk>
    <bk>
      <extLst>
        <ext uri="{3e2802c4-a4d2-4d8b-9148-e3be6c30e623}">
          <xlrd:rvb i="1273"/>
        </ext>
      </extLst>
    </bk>
    <bk>
      <extLst>
        <ext uri="{3e2802c4-a4d2-4d8b-9148-e3be6c30e623}">
          <xlrd:rvb i="1274"/>
        </ext>
      </extLst>
    </bk>
    <bk>
      <extLst>
        <ext uri="{3e2802c4-a4d2-4d8b-9148-e3be6c30e623}">
          <xlrd:rvb i="1275"/>
        </ext>
      </extLst>
    </bk>
    <bk>
      <extLst>
        <ext uri="{3e2802c4-a4d2-4d8b-9148-e3be6c30e623}">
          <xlrd:rvb i="1276"/>
        </ext>
      </extLst>
    </bk>
    <bk>
      <extLst>
        <ext uri="{3e2802c4-a4d2-4d8b-9148-e3be6c30e623}">
          <xlrd:rvb i="1277"/>
        </ext>
      </extLst>
    </bk>
    <bk>
      <extLst>
        <ext uri="{3e2802c4-a4d2-4d8b-9148-e3be6c30e623}">
          <xlrd:rvb i="1278"/>
        </ext>
      </extLst>
    </bk>
    <bk>
      <extLst>
        <ext uri="{3e2802c4-a4d2-4d8b-9148-e3be6c30e623}">
          <xlrd:rvb i="1279"/>
        </ext>
      </extLst>
    </bk>
    <bk>
      <extLst>
        <ext uri="{3e2802c4-a4d2-4d8b-9148-e3be6c30e623}">
          <xlrd:rvb i="1280"/>
        </ext>
      </extLst>
    </bk>
    <bk>
      <extLst>
        <ext uri="{3e2802c4-a4d2-4d8b-9148-e3be6c30e623}">
          <xlrd:rvb i="1281"/>
        </ext>
      </extLst>
    </bk>
    <bk>
      <extLst>
        <ext uri="{3e2802c4-a4d2-4d8b-9148-e3be6c30e623}">
          <xlrd:rvb i="1282"/>
        </ext>
      </extLst>
    </bk>
    <bk>
      <extLst>
        <ext uri="{3e2802c4-a4d2-4d8b-9148-e3be6c30e623}">
          <xlrd:rvb i="1283"/>
        </ext>
      </extLst>
    </bk>
    <bk>
      <extLst>
        <ext uri="{3e2802c4-a4d2-4d8b-9148-e3be6c30e623}">
          <xlrd:rvb i="1284"/>
        </ext>
      </extLst>
    </bk>
    <bk>
      <extLst>
        <ext uri="{3e2802c4-a4d2-4d8b-9148-e3be6c30e623}">
          <xlrd:rvb i="1285"/>
        </ext>
      </extLst>
    </bk>
    <bk>
      <extLst>
        <ext uri="{3e2802c4-a4d2-4d8b-9148-e3be6c30e623}">
          <xlrd:rvb i="1286"/>
        </ext>
      </extLst>
    </bk>
    <bk>
      <extLst>
        <ext uri="{3e2802c4-a4d2-4d8b-9148-e3be6c30e623}">
          <xlrd:rvb i="1287"/>
        </ext>
      </extLst>
    </bk>
    <bk>
      <extLst>
        <ext uri="{3e2802c4-a4d2-4d8b-9148-e3be6c30e623}">
          <xlrd:rvb i="1288"/>
        </ext>
      </extLst>
    </bk>
    <bk>
      <extLst>
        <ext uri="{3e2802c4-a4d2-4d8b-9148-e3be6c30e623}">
          <xlrd:rvb i="1289"/>
        </ext>
      </extLst>
    </bk>
    <bk>
      <extLst>
        <ext uri="{3e2802c4-a4d2-4d8b-9148-e3be6c30e623}">
          <xlrd:rvb i="1290"/>
        </ext>
      </extLst>
    </bk>
    <bk>
      <extLst>
        <ext uri="{3e2802c4-a4d2-4d8b-9148-e3be6c30e623}">
          <xlrd:rvb i="1291"/>
        </ext>
      </extLst>
    </bk>
    <bk>
      <extLst>
        <ext uri="{3e2802c4-a4d2-4d8b-9148-e3be6c30e623}">
          <xlrd:rvb i="1292"/>
        </ext>
      </extLst>
    </bk>
    <bk>
      <extLst>
        <ext uri="{3e2802c4-a4d2-4d8b-9148-e3be6c30e623}">
          <xlrd:rvb i="1293"/>
        </ext>
      </extLst>
    </bk>
    <bk>
      <extLst>
        <ext uri="{3e2802c4-a4d2-4d8b-9148-e3be6c30e623}">
          <xlrd:rvb i="1294"/>
        </ext>
      </extLst>
    </bk>
    <bk>
      <extLst>
        <ext uri="{3e2802c4-a4d2-4d8b-9148-e3be6c30e623}">
          <xlrd:rvb i="1295"/>
        </ext>
      </extLst>
    </bk>
    <bk>
      <extLst>
        <ext uri="{3e2802c4-a4d2-4d8b-9148-e3be6c30e623}">
          <xlrd:rvb i="1296"/>
        </ext>
      </extLst>
    </bk>
    <bk>
      <extLst>
        <ext uri="{3e2802c4-a4d2-4d8b-9148-e3be6c30e623}">
          <xlrd:rvb i="1297"/>
        </ext>
      </extLst>
    </bk>
    <bk>
      <extLst>
        <ext uri="{3e2802c4-a4d2-4d8b-9148-e3be6c30e623}">
          <xlrd:rvb i="1298"/>
        </ext>
      </extLst>
    </bk>
    <bk>
      <extLst>
        <ext uri="{3e2802c4-a4d2-4d8b-9148-e3be6c30e623}">
          <xlrd:rvb i="1299"/>
        </ext>
      </extLst>
    </bk>
    <bk>
      <extLst>
        <ext uri="{3e2802c4-a4d2-4d8b-9148-e3be6c30e623}">
          <xlrd:rvb i="1300"/>
        </ext>
      </extLst>
    </bk>
    <bk>
      <extLst>
        <ext uri="{3e2802c4-a4d2-4d8b-9148-e3be6c30e623}">
          <xlrd:rvb i="1301"/>
        </ext>
      </extLst>
    </bk>
    <bk>
      <extLst>
        <ext uri="{3e2802c4-a4d2-4d8b-9148-e3be6c30e623}">
          <xlrd:rvb i="1302"/>
        </ext>
      </extLst>
    </bk>
    <bk>
      <extLst>
        <ext uri="{3e2802c4-a4d2-4d8b-9148-e3be6c30e623}">
          <xlrd:rvb i="1303"/>
        </ext>
      </extLst>
    </bk>
    <bk>
      <extLst>
        <ext uri="{3e2802c4-a4d2-4d8b-9148-e3be6c30e623}">
          <xlrd:rvb i="1304"/>
        </ext>
      </extLst>
    </bk>
    <bk>
      <extLst>
        <ext uri="{3e2802c4-a4d2-4d8b-9148-e3be6c30e623}">
          <xlrd:rvb i="1305"/>
        </ext>
      </extLst>
    </bk>
    <bk>
      <extLst>
        <ext uri="{3e2802c4-a4d2-4d8b-9148-e3be6c30e623}">
          <xlrd:rvb i="1306"/>
        </ext>
      </extLst>
    </bk>
    <bk>
      <extLst>
        <ext uri="{3e2802c4-a4d2-4d8b-9148-e3be6c30e623}">
          <xlrd:rvb i="1307"/>
        </ext>
      </extLst>
    </bk>
    <bk>
      <extLst>
        <ext uri="{3e2802c4-a4d2-4d8b-9148-e3be6c30e623}">
          <xlrd:rvb i="1308"/>
        </ext>
      </extLst>
    </bk>
    <bk>
      <extLst>
        <ext uri="{3e2802c4-a4d2-4d8b-9148-e3be6c30e623}">
          <xlrd:rvb i="1309"/>
        </ext>
      </extLst>
    </bk>
    <bk>
      <extLst>
        <ext uri="{3e2802c4-a4d2-4d8b-9148-e3be6c30e623}">
          <xlrd:rvb i="1310"/>
        </ext>
      </extLst>
    </bk>
    <bk>
      <extLst>
        <ext uri="{3e2802c4-a4d2-4d8b-9148-e3be6c30e623}">
          <xlrd:rvb i="1311"/>
        </ext>
      </extLst>
    </bk>
    <bk>
      <extLst>
        <ext uri="{3e2802c4-a4d2-4d8b-9148-e3be6c30e623}">
          <xlrd:rvb i="1312"/>
        </ext>
      </extLst>
    </bk>
    <bk>
      <extLst>
        <ext uri="{3e2802c4-a4d2-4d8b-9148-e3be6c30e623}">
          <xlrd:rvb i="1313"/>
        </ext>
      </extLst>
    </bk>
    <bk>
      <extLst>
        <ext uri="{3e2802c4-a4d2-4d8b-9148-e3be6c30e623}">
          <xlrd:rvb i="1314"/>
        </ext>
      </extLst>
    </bk>
    <bk>
      <extLst>
        <ext uri="{3e2802c4-a4d2-4d8b-9148-e3be6c30e623}">
          <xlrd:rvb i="1315"/>
        </ext>
      </extLst>
    </bk>
    <bk>
      <extLst>
        <ext uri="{3e2802c4-a4d2-4d8b-9148-e3be6c30e623}">
          <xlrd:rvb i="1316"/>
        </ext>
      </extLst>
    </bk>
    <bk>
      <extLst>
        <ext uri="{3e2802c4-a4d2-4d8b-9148-e3be6c30e623}">
          <xlrd:rvb i="1317"/>
        </ext>
      </extLst>
    </bk>
    <bk>
      <extLst>
        <ext uri="{3e2802c4-a4d2-4d8b-9148-e3be6c30e623}">
          <xlrd:rvb i="1318"/>
        </ext>
      </extLst>
    </bk>
    <bk>
      <extLst>
        <ext uri="{3e2802c4-a4d2-4d8b-9148-e3be6c30e623}">
          <xlrd:rvb i="1319"/>
        </ext>
      </extLst>
    </bk>
    <bk>
      <extLst>
        <ext uri="{3e2802c4-a4d2-4d8b-9148-e3be6c30e623}">
          <xlrd:rvb i="1320"/>
        </ext>
      </extLst>
    </bk>
    <bk>
      <extLst>
        <ext uri="{3e2802c4-a4d2-4d8b-9148-e3be6c30e623}">
          <xlrd:rvb i="1321"/>
        </ext>
      </extLst>
    </bk>
    <bk>
      <extLst>
        <ext uri="{3e2802c4-a4d2-4d8b-9148-e3be6c30e623}">
          <xlrd:rvb i="1322"/>
        </ext>
      </extLst>
    </bk>
    <bk>
      <extLst>
        <ext uri="{3e2802c4-a4d2-4d8b-9148-e3be6c30e623}">
          <xlrd:rvb i="1323"/>
        </ext>
      </extLst>
    </bk>
    <bk>
      <extLst>
        <ext uri="{3e2802c4-a4d2-4d8b-9148-e3be6c30e623}">
          <xlrd:rvb i="1324"/>
        </ext>
      </extLst>
    </bk>
    <bk>
      <extLst>
        <ext uri="{3e2802c4-a4d2-4d8b-9148-e3be6c30e623}">
          <xlrd:rvb i="1325"/>
        </ext>
      </extLst>
    </bk>
    <bk>
      <extLst>
        <ext uri="{3e2802c4-a4d2-4d8b-9148-e3be6c30e623}">
          <xlrd:rvb i="1326"/>
        </ext>
      </extLst>
    </bk>
    <bk>
      <extLst>
        <ext uri="{3e2802c4-a4d2-4d8b-9148-e3be6c30e623}">
          <xlrd:rvb i="1327"/>
        </ext>
      </extLst>
    </bk>
    <bk>
      <extLst>
        <ext uri="{3e2802c4-a4d2-4d8b-9148-e3be6c30e623}">
          <xlrd:rvb i="1328"/>
        </ext>
      </extLst>
    </bk>
    <bk>
      <extLst>
        <ext uri="{3e2802c4-a4d2-4d8b-9148-e3be6c30e623}">
          <xlrd:rvb i="1329"/>
        </ext>
      </extLst>
    </bk>
    <bk>
      <extLst>
        <ext uri="{3e2802c4-a4d2-4d8b-9148-e3be6c30e623}">
          <xlrd:rvb i="1330"/>
        </ext>
      </extLst>
    </bk>
    <bk>
      <extLst>
        <ext uri="{3e2802c4-a4d2-4d8b-9148-e3be6c30e623}">
          <xlrd:rvb i="1331"/>
        </ext>
      </extLst>
    </bk>
    <bk>
      <extLst>
        <ext uri="{3e2802c4-a4d2-4d8b-9148-e3be6c30e623}">
          <xlrd:rvb i="1332"/>
        </ext>
      </extLst>
    </bk>
    <bk>
      <extLst>
        <ext uri="{3e2802c4-a4d2-4d8b-9148-e3be6c30e623}">
          <xlrd:rvb i="1333"/>
        </ext>
      </extLst>
    </bk>
    <bk>
      <extLst>
        <ext uri="{3e2802c4-a4d2-4d8b-9148-e3be6c30e623}">
          <xlrd:rvb i="1334"/>
        </ext>
      </extLst>
    </bk>
    <bk>
      <extLst>
        <ext uri="{3e2802c4-a4d2-4d8b-9148-e3be6c30e623}">
          <xlrd:rvb i="1335"/>
        </ext>
      </extLst>
    </bk>
    <bk>
      <extLst>
        <ext uri="{3e2802c4-a4d2-4d8b-9148-e3be6c30e623}">
          <xlrd:rvb i="1336"/>
        </ext>
      </extLst>
    </bk>
    <bk>
      <extLst>
        <ext uri="{3e2802c4-a4d2-4d8b-9148-e3be6c30e623}">
          <xlrd:rvb i="1337"/>
        </ext>
      </extLst>
    </bk>
    <bk>
      <extLst>
        <ext uri="{3e2802c4-a4d2-4d8b-9148-e3be6c30e623}">
          <xlrd:rvb i="1338"/>
        </ext>
      </extLst>
    </bk>
    <bk>
      <extLst>
        <ext uri="{3e2802c4-a4d2-4d8b-9148-e3be6c30e623}">
          <xlrd:rvb i="1339"/>
        </ext>
      </extLst>
    </bk>
    <bk>
      <extLst>
        <ext uri="{3e2802c4-a4d2-4d8b-9148-e3be6c30e623}">
          <xlrd:rvb i="1340"/>
        </ext>
      </extLst>
    </bk>
    <bk>
      <extLst>
        <ext uri="{3e2802c4-a4d2-4d8b-9148-e3be6c30e623}">
          <xlrd:rvb i="1341"/>
        </ext>
      </extLst>
    </bk>
    <bk>
      <extLst>
        <ext uri="{3e2802c4-a4d2-4d8b-9148-e3be6c30e623}">
          <xlrd:rvb i="1342"/>
        </ext>
      </extLst>
    </bk>
    <bk>
      <extLst>
        <ext uri="{3e2802c4-a4d2-4d8b-9148-e3be6c30e623}">
          <xlrd:rvb i="1343"/>
        </ext>
      </extLst>
    </bk>
    <bk>
      <extLst>
        <ext uri="{3e2802c4-a4d2-4d8b-9148-e3be6c30e623}">
          <xlrd:rvb i="1344"/>
        </ext>
      </extLst>
    </bk>
    <bk>
      <extLst>
        <ext uri="{3e2802c4-a4d2-4d8b-9148-e3be6c30e623}">
          <xlrd:rvb i="1345"/>
        </ext>
      </extLst>
    </bk>
    <bk>
      <extLst>
        <ext uri="{3e2802c4-a4d2-4d8b-9148-e3be6c30e623}">
          <xlrd:rvb i="1346"/>
        </ext>
      </extLst>
    </bk>
    <bk>
      <extLst>
        <ext uri="{3e2802c4-a4d2-4d8b-9148-e3be6c30e623}">
          <xlrd:rvb i="1347"/>
        </ext>
      </extLst>
    </bk>
    <bk>
      <extLst>
        <ext uri="{3e2802c4-a4d2-4d8b-9148-e3be6c30e623}">
          <xlrd:rvb i="1348"/>
        </ext>
      </extLst>
    </bk>
    <bk>
      <extLst>
        <ext uri="{3e2802c4-a4d2-4d8b-9148-e3be6c30e623}">
          <xlrd:rvb i="1349"/>
        </ext>
      </extLst>
    </bk>
    <bk>
      <extLst>
        <ext uri="{3e2802c4-a4d2-4d8b-9148-e3be6c30e623}">
          <xlrd:rvb i="1350"/>
        </ext>
      </extLst>
    </bk>
    <bk>
      <extLst>
        <ext uri="{3e2802c4-a4d2-4d8b-9148-e3be6c30e623}">
          <xlrd:rvb i="1351"/>
        </ext>
      </extLst>
    </bk>
    <bk>
      <extLst>
        <ext uri="{3e2802c4-a4d2-4d8b-9148-e3be6c30e623}">
          <xlrd:rvb i="1352"/>
        </ext>
      </extLst>
    </bk>
    <bk>
      <extLst>
        <ext uri="{3e2802c4-a4d2-4d8b-9148-e3be6c30e623}">
          <xlrd:rvb i="1353"/>
        </ext>
      </extLst>
    </bk>
    <bk>
      <extLst>
        <ext uri="{3e2802c4-a4d2-4d8b-9148-e3be6c30e623}">
          <xlrd:rvb i="1354"/>
        </ext>
      </extLst>
    </bk>
    <bk>
      <extLst>
        <ext uri="{3e2802c4-a4d2-4d8b-9148-e3be6c30e623}">
          <xlrd:rvb i="1355"/>
        </ext>
      </extLst>
    </bk>
    <bk>
      <extLst>
        <ext uri="{3e2802c4-a4d2-4d8b-9148-e3be6c30e623}">
          <xlrd:rvb i="1356"/>
        </ext>
      </extLst>
    </bk>
    <bk>
      <extLst>
        <ext uri="{3e2802c4-a4d2-4d8b-9148-e3be6c30e623}">
          <xlrd:rvb i="1357"/>
        </ext>
      </extLst>
    </bk>
    <bk>
      <extLst>
        <ext uri="{3e2802c4-a4d2-4d8b-9148-e3be6c30e623}">
          <xlrd:rvb i="1358"/>
        </ext>
      </extLst>
    </bk>
    <bk>
      <extLst>
        <ext uri="{3e2802c4-a4d2-4d8b-9148-e3be6c30e623}">
          <xlrd:rvb i="1359"/>
        </ext>
      </extLst>
    </bk>
    <bk>
      <extLst>
        <ext uri="{3e2802c4-a4d2-4d8b-9148-e3be6c30e623}">
          <xlrd:rvb i="1360"/>
        </ext>
      </extLst>
    </bk>
    <bk>
      <extLst>
        <ext uri="{3e2802c4-a4d2-4d8b-9148-e3be6c30e623}">
          <xlrd:rvb i="1361"/>
        </ext>
      </extLst>
    </bk>
    <bk>
      <extLst>
        <ext uri="{3e2802c4-a4d2-4d8b-9148-e3be6c30e623}">
          <xlrd:rvb i="1362"/>
        </ext>
      </extLst>
    </bk>
    <bk>
      <extLst>
        <ext uri="{3e2802c4-a4d2-4d8b-9148-e3be6c30e623}">
          <xlrd:rvb i="1363"/>
        </ext>
      </extLst>
    </bk>
    <bk>
      <extLst>
        <ext uri="{3e2802c4-a4d2-4d8b-9148-e3be6c30e623}">
          <xlrd:rvb i="1364"/>
        </ext>
      </extLst>
    </bk>
    <bk>
      <extLst>
        <ext uri="{3e2802c4-a4d2-4d8b-9148-e3be6c30e623}">
          <xlrd:rvb i="1365"/>
        </ext>
      </extLst>
    </bk>
    <bk>
      <extLst>
        <ext uri="{3e2802c4-a4d2-4d8b-9148-e3be6c30e623}">
          <xlrd:rvb i="1366"/>
        </ext>
      </extLst>
    </bk>
    <bk>
      <extLst>
        <ext uri="{3e2802c4-a4d2-4d8b-9148-e3be6c30e623}">
          <xlrd:rvb i="1367"/>
        </ext>
      </extLst>
    </bk>
    <bk>
      <extLst>
        <ext uri="{3e2802c4-a4d2-4d8b-9148-e3be6c30e623}">
          <xlrd:rvb i="1368"/>
        </ext>
      </extLst>
    </bk>
    <bk>
      <extLst>
        <ext uri="{3e2802c4-a4d2-4d8b-9148-e3be6c30e623}">
          <xlrd:rvb i="1369"/>
        </ext>
      </extLst>
    </bk>
    <bk>
      <extLst>
        <ext uri="{3e2802c4-a4d2-4d8b-9148-e3be6c30e623}">
          <xlrd:rvb i="1370"/>
        </ext>
      </extLst>
    </bk>
    <bk>
      <extLst>
        <ext uri="{3e2802c4-a4d2-4d8b-9148-e3be6c30e623}">
          <xlrd:rvb i="1371"/>
        </ext>
      </extLst>
    </bk>
    <bk>
      <extLst>
        <ext uri="{3e2802c4-a4d2-4d8b-9148-e3be6c30e623}">
          <xlrd:rvb i="1372"/>
        </ext>
      </extLst>
    </bk>
    <bk>
      <extLst>
        <ext uri="{3e2802c4-a4d2-4d8b-9148-e3be6c30e623}">
          <xlrd:rvb i="1373"/>
        </ext>
      </extLst>
    </bk>
    <bk>
      <extLst>
        <ext uri="{3e2802c4-a4d2-4d8b-9148-e3be6c30e623}">
          <xlrd:rvb i="1374"/>
        </ext>
      </extLst>
    </bk>
    <bk>
      <extLst>
        <ext uri="{3e2802c4-a4d2-4d8b-9148-e3be6c30e623}">
          <xlrd:rvb i="1375"/>
        </ext>
      </extLst>
    </bk>
    <bk>
      <extLst>
        <ext uri="{3e2802c4-a4d2-4d8b-9148-e3be6c30e623}">
          <xlrd:rvb i="1376"/>
        </ext>
      </extLst>
    </bk>
    <bk>
      <extLst>
        <ext uri="{3e2802c4-a4d2-4d8b-9148-e3be6c30e623}">
          <xlrd:rvb i="1377"/>
        </ext>
      </extLst>
    </bk>
    <bk>
      <extLst>
        <ext uri="{3e2802c4-a4d2-4d8b-9148-e3be6c30e623}">
          <xlrd:rvb i="1378"/>
        </ext>
      </extLst>
    </bk>
    <bk>
      <extLst>
        <ext uri="{3e2802c4-a4d2-4d8b-9148-e3be6c30e623}">
          <xlrd:rvb i="1379"/>
        </ext>
      </extLst>
    </bk>
    <bk>
      <extLst>
        <ext uri="{3e2802c4-a4d2-4d8b-9148-e3be6c30e623}">
          <xlrd:rvb i="1380"/>
        </ext>
      </extLst>
    </bk>
    <bk>
      <extLst>
        <ext uri="{3e2802c4-a4d2-4d8b-9148-e3be6c30e623}">
          <xlrd:rvb i="1381"/>
        </ext>
      </extLst>
    </bk>
    <bk>
      <extLst>
        <ext uri="{3e2802c4-a4d2-4d8b-9148-e3be6c30e623}">
          <xlrd:rvb i="1382"/>
        </ext>
      </extLst>
    </bk>
    <bk>
      <extLst>
        <ext uri="{3e2802c4-a4d2-4d8b-9148-e3be6c30e623}">
          <xlrd:rvb i="1383"/>
        </ext>
      </extLst>
    </bk>
    <bk>
      <extLst>
        <ext uri="{3e2802c4-a4d2-4d8b-9148-e3be6c30e623}">
          <xlrd:rvb i="1384"/>
        </ext>
      </extLst>
    </bk>
    <bk>
      <extLst>
        <ext uri="{3e2802c4-a4d2-4d8b-9148-e3be6c30e623}">
          <xlrd:rvb i="1385"/>
        </ext>
      </extLst>
    </bk>
    <bk>
      <extLst>
        <ext uri="{3e2802c4-a4d2-4d8b-9148-e3be6c30e623}">
          <xlrd:rvb i="1386"/>
        </ext>
      </extLst>
    </bk>
    <bk>
      <extLst>
        <ext uri="{3e2802c4-a4d2-4d8b-9148-e3be6c30e623}">
          <xlrd:rvb i="1387"/>
        </ext>
      </extLst>
    </bk>
    <bk>
      <extLst>
        <ext uri="{3e2802c4-a4d2-4d8b-9148-e3be6c30e623}">
          <xlrd:rvb i="1388"/>
        </ext>
      </extLst>
    </bk>
    <bk>
      <extLst>
        <ext uri="{3e2802c4-a4d2-4d8b-9148-e3be6c30e623}">
          <xlrd:rvb i="1389"/>
        </ext>
      </extLst>
    </bk>
    <bk>
      <extLst>
        <ext uri="{3e2802c4-a4d2-4d8b-9148-e3be6c30e623}">
          <xlrd:rvb i="1390"/>
        </ext>
      </extLst>
    </bk>
    <bk>
      <extLst>
        <ext uri="{3e2802c4-a4d2-4d8b-9148-e3be6c30e623}">
          <xlrd:rvb i="1391"/>
        </ext>
      </extLst>
    </bk>
    <bk>
      <extLst>
        <ext uri="{3e2802c4-a4d2-4d8b-9148-e3be6c30e623}">
          <xlrd:rvb i="1392"/>
        </ext>
      </extLst>
    </bk>
    <bk>
      <extLst>
        <ext uri="{3e2802c4-a4d2-4d8b-9148-e3be6c30e623}">
          <xlrd:rvb i="1393"/>
        </ext>
      </extLst>
    </bk>
    <bk>
      <extLst>
        <ext uri="{3e2802c4-a4d2-4d8b-9148-e3be6c30e623}">
          <xlrd:rvb i="1394"/>
        </ext>
      </extLst>
    </bk>
    <bk>
      <extLst>
        <ext uri="{3e2802c4-a4d2-4d8b-9148-e3be6c30e623}">
          <xlrd:rvb i="1395"/>
        </ext>
      </extLst>
    </bk>
    <bk>
      <extLst>
        <ext uri="{3e2802c4-a4d2-4d8b-9148-e3be6c30e623}">
          <xlrd:rvb i="1396"/>
        </ext>
      </extLst>
    </bk>
    <bk>
      <extLst>
        <ext uri="{3e2802c4-a4d2-4d8b-9148-e3be6c30e623}">
          <xlrd:rvb i="1397"/>
        </ext>
      </extLst>
    </bk>
    <bk>
      <extLst>
        <ext uri="{3e2802c4-a4d2-4d8b-9148-e3be6c30e623}">
          <xlrd:rvb i="1398"/>
        </ext>
      </extLst>
    </bk>
    <bk>
      <extLst>
        <ext uri="{3e2802c4-a4d2-4d8b-9148-e3be6c30e623}">
          <xlrd:rvb i="1399"/>
        </ext>
      </extLst>
    </bk>
    <bk>
      <extLst>
        <ext uri="{3e2802c4-a4d2-4d8b-9148-e3be6c30e623}">
          <xlrd:rvb i="1400"/>
        </ext>
      </extLst>
    </bk>
    <bk>
      <extLst>
        <ext uri="{3e2802c4-a4d2-4d8b-9148-e3be6c30e623}">
          <xlrd:rvb i="1401"/>
        </ext>
      </extLst>
    </bk>
    <bk>
      <extLst>
        <ext uri="{3e2802c4-a4d2-4d8b-9148-e3be6c30e623}">
          <xlrd:rvb i="1402"/>
        </ext>
      </extLst>
    </bk>
    <bk>
      <extLst>
        <ext uri="{3e2802c4-a4d2-4d8b-9148-e3be6c30e623}">
          <xlrd:rvb i="1403"/>
        </ext>
      </extLst>
    </bk>
    <bk>
      <extLst>
        <ext uri="{3e2802c4-a4d2-4d8b-9148-e3be6c30e623}">
          <xlrd:rvb i="1404"/>
        </ext>
      </extLst>
    </bk>
    <bk>
      <extLst>
        <ext uri="{3e2802c4-a4d2-4d8b-9148-e3be6c30e623}">
          <xlrd:rvb i="1405"/>
        </ext>
      </extLst>
    </bk>
    <bk>
      <extLst>
        <ext uri="{3e2802c4-a4d2-4d8b-9148-e3be6c30e623}">
          <xlrd:rvb i="1406"/>
        </ext>
      </extLst>
    </bk>
    <bk>
      <extLst>
        <ext uri="{3e2802c4-a4d2-4d8b-9148-e3be6c30e623}">
          <xlrd:rvb i="1407"/>
        </ext>
      </extLst>
    </bk>
    <bk>
      <extLst>
        <ext uri="{3e2802c4-a4d2-4d8b-9148-e3be6c30e623}">
          <xlrd:rvb i="1408"/>
        </ext>
      </extLst>
    </bk>
    <bk>
      <extLst>
        <ext uri="{3e2802c4-a4d2-4d8b-9148-e3be6c30e623}">
          <xlrd:rvb i="1409"/>
        </ext>
      </extLst>
    </bk>
    <bk>
      <extLst>
        <ext uri="{3e2802c4-a4d2-4d8b-9148-e3be6c30e623}">
          <xlrd:rvb i="1410"/>
        </ext>
      </extLst>
    </bk>
    <bk>
      <extLst>
        <ext uri="{3e2802c4-a4d2-4d8b-9148-e3be6c30e623}">
          <xlrd:rvb i="1411"/>
        </ext>
      </extLst>
    </bk>
    <bk>
      <extLst>
        <ext uri="{3e2802c4-a4d2-4d8b-9148-e3be6c30e623}">
          <xlrd:rvb i="1412"/>
        </ext>
      </extLst>
    </bk>
    <bk>
      <extLst>
        <ext uri="{3e2802c4-a4d2-4d8b-9148-e3be6c30e623}">
          <xlrd:rvb i="1413"/>
        </ext>
      </extLst>
    </bk>
    <bk>
      <extLst>
        <ext uri="{3e2802c4-a4d2-4d8b-9148-e3be6c30e623}">
          <xlrd:rvb i="1414"/>
        </ext>
      </extLst>
    </bk>
    <bk>
      <extLst>
        <ext uri="{3e2802c4-a4d2-4d8b-9148-e3be6c30e623}">
          <xlrd:rvb i="1415"/>
        </ext>
      </extLst>
    </bk>
    <bk>
      <extLst>
        <ext uri="{3e2802c4-a4d2-4d8b-9148-e3be6c30e623}">
          <xlrd:rvb i="1416"/>
        </ext>
      </extLst>
    </bk>
    <bk>
      <extLst>
        <ext uri="{3e2802c4-a4d2-4d8b-9148-e3be6c30e623}">
          <xlrd:rvb i="1417"/>
        </ext>
      </extLst>
    </bk>
    <bk>
      <extLst>
        <ext uri="{3e2802c4-a4d2-4d8b-9148-e3be6c30e623}">
          <xlrd:rvb i="1418"/>
        </ext>
      </extLst>
    </bk>
    <bk>
      <extLst>
        <ext uri="{3e2802c4-a4d2-4d8b-9148-e3be6c30e623}">
          <xlrd:rvb i="1419"/>
        </ext>
      </extLst>
    </bk>
    <bk>
      <extLst>
        <ext uri="{3e2802c4-a4d2-4d8b-9148-e3be6c30e623}">
          <xlrd:rvb i="1420"/>
        </ext>
      </extLst>
    </bk>
    <bk>
      <extLst>
        <ext uri="{3e2802c4-a4d2-4d8b-9148-e3be6c30e623}">
          <xlrd:rvb i="1421"/>
        </ext>
      </extLst>
    </bk>
    <bk>
      <extLst>
        <ext uri="{3e2802c4-a4d2-4d8b-9148-e3be6c30e623}">
          <xlrd:rvb i="1422"/>
        </ext>
      </extLst>
    </bk>
    <bk>
      <extLst>
        <ext uri="{3e2802c4-a4d2-4d8b-9148-e3be6c30e623}">
          <xlrd:rvb i="1423"/>
        </ext>
      </extLst>
    </bk>
    <bk>
      <extLst>
        <ext uri="{3e2802c4-a4d2-4d8b-9148-e3be6c30e623}">
          <xlrd:rvb i="1424"/>
        </ext>
      </extLst>
    </bk>
    <bk>
      <extLst>
        <ext uri="{3e2802c4-a4d2-4d8b-9148-e3be6c30e623}">
          <xlrd:rvb i="1425"/>
        </ext>
      </extLst>
    </bk>
    <bk>
      <extLst>
        <ext uri="{3e2802c4-a4d2-4d8b-9148-e3be6c30e623}">
          <xlrd:rvb i="1426"/>
        </ext>
      </extLst>
    </bk>
    <bk>
      <extLst>
        <ext uri="{3e2802c4-a4d2-4d8b-9148-e3be6c30e623}">
          <xlrd:rvb i="1427"/>
        </ext>
      </extLst>
    </bk>
    <bk>
      <extLst>
        <ext uri="{3e2802c4-a4d2-4d8b-9148-e3be6c30e623}">
          <xlrd:rvb i="1428"/>
        </ext>
      </extLst>
    </bk>
    <bk>
      <extLst>
        <ext uri="{3e2802c4-a4d2-4d8b-9148-e3be6c30e623}">
          <xlrd:rvb i="1429"/>
        </ext>
      </extLst>
    </bk>
    <bk>
      <extLst>
        <ext uri="{3e2802c4-a4d2-4d8b-9148-e3be6c30e623}">
          <xlrd:rvb i="1430"/>
        </ext>
      </extLst>
    </bk>
    <bk>
      <extLst>
        <ext uri="{3e2802c4-a4d2-4d8b-9148-e3be6c30e623}">
          <xlrd:rvb i="1431"/>
        </ext>
      </extLst>
    </bk>
    <bk>
      <extLst>
        <ext uri="{3e2802c4-a4d2-4d8b-9148-e3be6c30e623}">
          <xlrd:rvb i="1432"/>
        </ext>
      </extLst>
    </bk>
    <bk>
      <extLst>
        <ext uri="{3e2802c4-a4d2-4d8b-9148-e3be6c30e623}">
          <xlrd:rvb i="1433"/>
        </ext>
      </extLst>
    </bk>
    <bk>
      <extLst>
        <ext uri="{3e2802c4-a4d2-4d8b-9148-e3be6c30e623}">
          <xlrd:rvb i="1434"/>
        </ext>
      </extLst>
    </bk>
    <bk>
      <extLst>
        <ext uri="{3e2802c4-a4d2-4d8b-9148-e3be6c30e623}">
          <xlrd:rvb i="1435"/>
        </ext>
      </extLst>
    </bk>
    <bk>
      <extLst>
        <ext uri="{3e2802c4-a4d2-4d8b-9148-e3be6c30e623}">
          <xlrd:rvb i="1436"/>
        </ext>
      </extLst>
    </bk>
    <bk>
      <extLst>
        <ext uri="{3e2802c4-a4d2-4d8b-9148-e3be6c30e623}">
          <xlrd:rvb i="1437"/>
        </ext>
      </extLst>
    </bk>
    <bk>
      <extLst>
        <ext uri="{3e2802c4-a4d2-4d8b-9148-e3be6c30e623}">
          <xlrd:rvb i="1438"/>
        </ext>
      </extLst>
    </bk>
    <bk>
      <extLst>
        <ext uri="{3e2802c4-a4d2-4d8b-9148-e3be6c30e623}">
          <xlrd:rvb i="1439"/>
        </ext>
      </extLst>
    </bk>
    <bk>
      <extLst>
        <ext uri="{3e2802c4-a4d2-4d8b-9148-e3be6c30e623}">
          <xlrd:rvb i="1440"/>
        </ext>
      </extLst>
    </bk>
    <bk>
      <extLst>
        <ext uri="{3e2802c4-a4d2-4d8b-9148-e3be6c30e623}">
          <xlrd:rvb i="1441"/>
        </ext>
      </extLst>
    </bk>
    <bk>
      <extLst>
        <ext uri="{3e2802c4-a4d2-4d8b-9148-e3be6c30e623}">
          <xlrd:rvb i="1442"/>
        </ext>
      </extLst>
    </bk>
    <bk>
      <extLst>
        <ext uri="{3e2802c4-a4d2-4d8b-9148-e3be6c30e623}">
          <xlrd:rvb i="1443"/>
        </ext>
      </extLst>
    </bk>
    <bk>
      <extLst>
        <ext uri="{3e2802c4-a4d2-4d8b-9148-e3be6c30e623}">
          <xlrd:rvb i="1444"/>
        </ext>
      </extLst>
    </bk>
    <bk>
      <extLst>
        <ext uri="{3e2802c4-a4d2-4d8b-9148-e3be6c30e623}">
          <xlrd:rvb i="1445"/>
        </ext>
      </extLst>
    </bk>
    <bk>
      <extLst>
        <ext uri="{3e2802c4-a4d2-4d8b-9148-e3be6c30e623}">
          <xlrd:rvb i="1446"/>
        </ext>
      </extLst>
    </bk>
    <bk>
      <extLst>
        <ext uri="{3e2802c4-a4d2-4d8b-9148-e3be6c30e623}">
          <xlrd:rvb i="1447"/>
        </ext>
      </extLst>
    </bk>
    <bk>
      <extLst>
        <ext uri="{3e2802c4-a4d2-4d8b-9148-e3be6c30e623}">
          <xlrd:rvb i="1448"/>
        </ext>
      </extLst>
    </bk>
    <bk>
      <extLst>
        <ext uri="{3e2802c4-a4d2-4d8b-9148-e3be6c30e623}">
          <xlrd:rvb i="1449"/>
        </ext>
      </extLst>
    </bk>
    <bk>
      <extLst>
        <ext uri="{3e2802c4-a4d2-4d8b-9148-e3be6c30e623}">
          <xlrd:rvb i="1450"/>
        </ext>
      </extLst>
    </bk>
    <bk>
      <extLst>
        <ext uri="{3e2802c4-a4d2-4d8b-9148-e3be6c30e623}">
          <xlrd:rvb i="1451"/>
        </ext>
      </extLst>
    </bk>
    <bk>
      <extLst>
        <ext uri="{3e2802c4-a4d2-4d8b-9148-e3be6c30e623}">
          <xlrd:rvb i="1452"/>
        </ext>
      </extLst>
    </bk>
    <bk>
      <extLst>
        <ext uri="{3e2802c4-a4d2-4d8b-9148-e3be6c30e623}">
          <xlrd:rvb i="1453"/>
        </ext>
      </extLst>
    </bk>
    <bk>
      <extLst>
        <ext uri="{3e2802c4-a4d2-4d8b-9148-e3be6c30e623}">
          <xlrd:rvb i="1454"/>
        </ext>
      </extLst>
    </bk>
    <bk>
      <extLst>
        <ext uri="{3e2802c4-a4d2-4d8b-9148-e3be6c30e623}">
          <xlrd:rvb i="1455"/>
        </ext>
      </extLst>
    </bk>
    <bk>
      <extLst>
        <ext uri="{3e2802c4-a4d2-4d8b-9148-e3be6c30e623}">
          <xlrd:rvb i="1456"/>
        </ext>
      </extLst>
    </bk>
    <bk>
      <extLst>
        <ext uri="{3e2802c4-a4d2-4d8b-9148-e3be6c30e623}">
          <xlrd:rvb i="1457"/>
        </ext>
      </extLst>
    </bk>
    <bk>
      <extLst>
        <ext uri="{3e2802c4-a4d2-4d8b-9148-e3be6c30e623}">
          <xlrd:rvb i="1458"/>
        </ext>
      </extLst>
    </bk>
    <bk>
      <extLst>
        <ext uri="{3e2802c4-a4d2-4d8b-9148-e3be6c30e623}">
          <xlrd:rvb i="1459"/>
        </ext>
      </extLst>
    </bk>
    <bk>
      <extLst>
        <ext uri="{3e2802c4-a4d2-4d8b-9148-e3be6c30e623}">
          <xlrd:rvb i="1460"/>
        </ext>
      </extLst>
    </bk>
    <bk>
      <extLst>
        <ext uri="{3e2802c4-a4d2-4d8b-9148-e3be6c30e623}">
          <xlrd:rvb i="1461"/>
        </ext>
      </extLst>
    </bk>
    <bk>
      <extLst>
        <ext uri="{3e2802c4-a4d2-4d8b-9148-e3be6c30e623}">
          <xlrd:rvb i="1462"/>
        </ext>
      </extLst>
    </bk>
    <bk>
      <extLst>
        <ext uri="{3e2802c4-a4d2-4d8b-9148-e3be6c30e623}">
          <xlrd:rvb i="1463"/>
        </ext>
      </extLst>
    </bk>
    <bk>
      <extLst>
        <ext uri="{3e2802c4-a4d2-4d8b-9148-e3be6c30e623}">
          <xlrd:rvb i="1464"/>
        </ext>
      </extLst>
    </bk>
    <bk>
      <extLst>
        <ext uri="{3e2802c4-a4d2-4d8b-9148-e3be6c30e623}">
          <xlrd:rvb i="1465"/>
        </ext>
      </extLst>
    </bk>
    <bk>
      <extLst>
        <ext uri="{3e2802c4-a4d2-4d8b-9148-e3be6c30e623}">
          <xlrd:rvb i="1466"/>
        </ext>
      </extLst>
    </bk>
    <bk>
      <extLst>
        <ext uri="{3e2802c4-a4d2-4d8b-9148-e3be6c30e623}">
          <xlrd:rvb i="1467"/>
        </ext>
      </extLst>
    </bk>
    <bk>
      <extLst>
        <ext uri="{3e2802c4-a4d2-4d8b-9148-e3be6c30e623}">
          <xlrd:rvb i="1468"/>
        </ext>
      </extLst>
    </bk>
    <bk>
      <extLst>
        <ext uri="{3e2802c4-a4d2-4d8b-9148-e3be6c30e623}">
          <xlrd:rvb i="1469"/>
        </ext>
      </extLst>
    </bk>
    <bk>
      <extLst>
        <ext uri="{3e2802c4-a4d2-4d8b-9148-e3be6c30e623}">
          <xlrd:rvb i="1470"/>
        </ext>
      </extLst>
    </bk>
    <bk>
      <extLst>
        <ext uri="{3e2802c4-a4d2-4d8b-9148-e3be6c30e623}">
          <xlrd:rvb i="1473"/>
        </ext>
      </extLst>
    </bk>
    <bk>
      <extLst>
        <ext uri="{3e2802c4-a4d2-4d8b-9148-e3be6c30e623}">
          <xlrd:rvb i="1474"/>
        </ext>
      </extLst>
    </bk>
    <bk>
      <extLst>
        <ext uri="{3e2802c4-a4d2-4d8b-9148-e3be6c30e623}">
          <xlrd:rvb i="1475"/>
        </ext>
      </extLst>
    </bk>
    <bk>
      <extLst>
        <ext uri="{3e2802c4-a4d2-4d8b-9148-e3be6c30e623}">
          <xlrd:rvb i="1476"/>
        </ext>
      </extLst>
    </bk>
    <bk>
      <extLst>
        <ext uri="{3e2802c4-a4d2-4d8b-9148-e3be6c30e623}">
          <xlrd:rvb i="1477"/>
        </ext>
      </extLst>
    </bk>
    <bk>
      <extLst>
        <ext uri="{3e2802c4-a4d2-4d8b-9148-e3be6c30e623}">
          <xlrd:rvb i="1478"/>
        </ext>
      </extLst>
    </bk>
    <bk>
      <extLst>
        <ext uri="{3e2802c4-a4d2-4d8b-9148-e3be6c30e623}">
          <xlrd:rvb i="1479"/>
        </ext>
      </extLst>
    </bk>
    <bk>
      <extLst>
        <ext uri="{3e2802c4-a4d2-4d8b-9148-e3be6c30e623}">
          <xlrd:rvb i="1480"/>
        </ext>
      </extLst>
    </bk>
    <bk>
      <extLst>
        <ext uri="{3e2802c4-a4d2-4d8b-9148-e3be6c30e623}">
          <xlrd:rvb i="1481"/>
        </ext>
      </extLst>
    </bk>
    <bk>
      <extLst>
        <ext uri="{3e2802c4-a4d2-4d8b-9148-e3be6c30e623}">
          <xlrd:rvb i="1482"/>
        </ext>
      </extLst>
    </bk>
    <bk>
      <extLst>
        <ext uri="{3e2802c4-a4d2-4d8b-9148-e3be6c30e623}">
          <xlrd:rvb i="1483"/>
        </ext>
      </extLst>
    </bk>
    <bk>
      <extLst>
        <ext uri="{3e2802c4-a4d2-4d8b-9148-e3be6c30e623}">
          <xlrd:rvb i="1484"/>
        </ext>
      </extLst>
    </bk>
    <bk>
      <extLst>
        <ext uri="{3e2802c4-a4d2-4d8b-9148-e3be6c30e623}">
          <xlrd:rvb i="1485"/>
        </ext>
      </extLst>
    </bk>
    <bk>
      <extLst>
        <ext uri="{3e2802c4-a4d2-4d8b-9148-e3be6c30e623}">
          <xlrd:rvb i="1486"/>
        </ext>
      </extLst>
    </bk>
    <bk>
      <extLst>
        <ext uri="{3e2802c4-a4d2-4d8b-9148-e3be6c30e623}">
          <xlrd:rvb i="1487"/>
        </ext>
      </extLst>
    </bk>
    <bk>
      <extLst>
        <ext uri="{3e2802c4-a4d2-4d8b-9148-e3be6c30e623}">
          <xlrd:rvb i="1488"/>
        </ext>
      </extLst>
    </bk>
    <bk>
      <extLst>
        <ext uri="{3e2802c4-a4d2-4d8b-9148-e3be6c30e623}">
          <xlrd:rvb i="1489"/>
        </ext>
      </extLst>
    </bk>
    <bk>
      <extLst>
        <ext uri="{3e2802c4-a4d2-4d8b-9148-e3be6c30e623}">
          <xlrd:rvb i="1490"/>
        </ext>
      </extLst>
    </bk>
    <bk>
      <extLst>
        <ext uri="{3e2802c4-a4d2-4d8b-9148-e3be6c30e623}">
          <xlrd:rvb i="1491"/>
        </ext>
      </extLst>
    </bk>
    <bk>
      <extLst>
        <ext uri="{3e2802c4-a4d2-4d8b-9148-e3be6c30e623}">
          <xlrd:rvb i="1492"/>
        </ext>
      </extLst>
    </bk>
    <bk>
      <extLst>
        <ext uri="{3e2802c4-a4d2-4d8b-9148-e3be6c30e623}">
          <xlrd:rvb i="1493"/>
        </ext>
      </extLst>
    </bk>
    <bk>
      <extLst>
        <ext uri="{3e2802c4-a4d2-4d8b-9148-e3be6c30e623}">
          <xlrd:rvb i="1494"/>
        </ext>
      </extLst>
    </bk>
    <bk>
      <extLst>
        <ext uri="{3e2802c4-a4d2-4d8b-9148-e3be6c30e623}">
          <xlrd:rvb i="1495"/>
        </ext>
      </extLst>
    </bk>
    <bk>
      <extLst>
        <ext uri="{3e2802c4-a4d2-4d8b-9148-e3be6c30e623}">
          <xlrd:rvb i="1496"/>
        </ext>
      </extLst>
    </bk>
    <bk>
      <extLst>
        <ext uri="{3e2802c4-a4d2-4d8b-9148-e3be6c30e623}">
          <xlrd:rvb i="1497"/>
        </ext>
      </extLst>
    </bk>
    <bk>
      <extLst>
        <ext uri="{3e2802c4-a4d2-4d8b-9148-e3be6c30e623}">
          <xlrd:rvb i="1498"/>
        </ext>
      </extLst>
    </bk>
    <bk>
      <extLst>
        <ext uri="{3e2802c4-a4d2-4d8b-9148-e3be6c30e623}">
          <xlrd:rvb i="1499"/>
        </ext>
      </extLst>
    </bk>
    <bk>
      <extLst>
        <ext uri="{3e2802c4-a4d2-4d8b-9148-e3be6c30e623}">
          <xlrd:rvb i="1500"/>
        </ext>
      </extLst>
    </bk>
    <bk>
      <extLst>
        <ext uri="{3e2802c4-a4d2-4d8b-9148-e3be6c30e623}">
          <xlrd:rvb i="1501"/>
        </ext>
      </extLst>
    </bk>
    <bk>
      <extLst>
        <ext uri="{3e2802c4-a4d2-4d8b-9148-e3be6c30e623}">
          <xlrd:rvb i="1502"/>
        </ext>
      </extLst>
    </bk>
    <bk>
      <extLst>
        <ext uri="{3e2802c4-a4d2-4d8b-9148-e3be6c30e623}">
          <xlrd:rvb i="1503"/>
        </ext>
      </extLst>
    </bk>
    <bk>
      <extLst>
        <ext uri="{3e2802c4-a4d2-4d8b-9148-e3be6c30e623}">
          <xlrd:rvb i="1504"/>
        </ext>
      </extLst>
    </bk>
    <bk>
      <extLst>
        <ext uri="{3e2802c4-a4d2-4d8b-9148-e3be6c30e623}">
          <xlrd:rvb i="1505"/>
        </ext>
      </extLst>
    </bk>
    <bk>
      <extLst>
        <ext uri="{3e2802c4-a4d2-4d8b-9148-e3be6c30e623}">
          <xlrd:rvb i="1506"/>
        </ext>
      </extLst>
    </bk>
    <bk>
      <extLst>
        <ext uri="{3e2802c4-a4d2-4d8b-9148-e3be6c30e623}">
          <xlrd:rvb i="1507"/>
        </ext>
      </extLst>
    </bk>
    <bk>
      <extLst>
        <ext uri="{3e2802c4-a4d2-4d8b-9148-e3be6c30e623}">
          <xlrd:rvb i="1508"/>
        </ext>
      </extLst>
    </bk>
    <bk>
      <extLst>
        <ext uri="{3e2802c4-a4d2-4d8b-9148-e3be6c30e623}">
          <xlrd:rvb i="1509"/>
        </ext>
      </extLst>
    </bk>
    <bk>
      <extLst>
        <ext uri="{3e2802c4-a4d2-4d8b-9148-e3be6c30e623}">
          <xlrd:rvb i="1510"/>
        </ext>
      </extLst>
    </bk>
    <bk>
      <extLst>
        <ext uri="{3e2802c4-a4d2-4d8b-9148-e3be6c30e623}">
          <xlrd:rvb i="1511"/>
        </ext>
      </extLst>
    </bk>
    <bk>
      <extLst>
        <ext uri="{3e2802c4-a4d2-4d8b-9148-e3be6c30e623}">
          <xlrd:rvb i="1512"/>
        </ext>
      </extLst>
    </bk>
    <bk>
      <extLst>
        <ext uri="{3e2802c4-a4d2-4d8b-9148-e3be6c30e623}">
          <xlrd:rvb i="1513"/>
        </ext>
      </extLst>
    </bk>
    <bk>
      <extLst>
        <ext uri="{3e2802c4-a4d2-4d8b-9148-e3be6c30e623}">
          <xlrd:rvb i="1514"/>
        </ext>
      </extLst>
    </bk>
    <bk>
      <extLst>
        <ext uri="{3e2802c4-a4d2-4d8b-9148-e3be6c30e623}">
          <xlrd:rvb i="1515"/>
        </ext>
      </extLst>
    </bk>
    <bk>
      <extLst>
        <ext uri="{3e2802c4-a4d2-4d8b-9148-e3be6c30e623}">
          <xlrd:rvb i="1516"/>
        </ext>
      </extLst>
    </bk>
    <bk>
      <extLst>
        <ext uri="{3e2802c4-a4d2-4d8b-9148-e3be6c30e623}">
          <xlrd:rvb i="1517"/>
        </ext>
      </extLst>
    </bk>
    <bk>
      <extLst>
        <ext uri="{3e2802c4-a4d2-4d8b-9148-e3be6c30e623}">
          <xlrd:rvb i="1518"/>
        </ext>
      </extLst>
    </bk>
    <bk>
      <extLst>
        <ext uri="{3e2802c4-a4d2-4d8b-9148-e3be6c30e623}">
          <xlrd:rvb i="1519"/>
        </ext>
      </extLst>
    </bk>
    <bk>
      <extLst>
        <ext uri="{3e2802c4-a4d2-4d8b-9148-e3be6c30e623}">
          <xlrd:rvb i="1520"/>
        </ext>
      </extLst>
    </bk>
    <bk>
      <extLst>
        <ext uri="{3e2802c4-a4d2-4d8b-9148-e3be6c30e623}">
          <xlrd:rvb i="1521"/>
        </ext>
      </extLst>
    </bk>
    <bk>
      <extLst>
        <ext uri="{3e2802c4-a4d2-4d8b-9148-e3be6c30e623}">
          <xlrd:rvb i="1522"/>
        </ext>
      </extLst>
    </bk>
    <bk>
      <extLst>
        <ext uri="{3e2802c4-a4d2-4d8b-9148-e3be6c30e623}">
          <xlrd:rvb i="1523"/>
        </ext>
      </extLst>
    </bk>
    <bk>
      <extLst>
        <ext uri="{3e2802c4-a4d2-4d8b-9148-e3be6c30e623}">
          <xlrd:rvb i="1524"/>
        </ext>
      </extLst>
    </bk>
    <bk>
      <extLst>
        <ext uri="{3e2802c4-a4d2-4d8b-9148-e3be6c30e623}">
          <xlrd:rvb i="1525"/>
        </ext>
      </extLst>
    </bk>
    <bk>
      <extLst>
        <ext uri="{3e2802c4-a4d2-4d8b-9148-e3be6c30e623}">
          <xlrd:rvb i="1526"/>
        </ext>
      </extLst>
    </bk>
    <bk>
      <extLst>
        <ext uri="{3e2802c4-a4d2-4d8b-9148-e3be6c30e623}">
          <xlrd:rvb i="1527"/>
        </ext>
      </extLst>
    </bk>
    <bk>
      <extLst>
        <ext uri="{3e2802c4-a4d2-4d8b-9148-e3be6c30e623}">
          <xlrd:rvb i="1528"/>
        </ext>
      </extLst>
    </bk>
    <bk>
      <extLst>
        <ext uri="{3e2802c4-a4d2-4d8b-9148-e3be6c30e623}">
          <xlrd:rvb i="1529"/>
        </ext>
      </extLst>
    </bk>
    <bk>
      <extLst>
        <ext uri="{3e2802c4-a4d2-4d8b-9148-e3be6c30e623}">
          <xlrd:rvb i="1530"/>
        </ext>
      </extLst>
    </bk>
    <bk>
      <extLst>
        <ext uri="{3e2802c4-a4d2-4d8b-9148-e3be6c30e623}">
          <xlrd:rvb i="1531"/>
        </ext>
      </extLst>
    </bk>
    <bk>
      <extLst>
        <ext uri="{3e2802c4-a4d2-4d8b-9148-e3be6c30e623}">
          <xlrd:rvb i="1532"/>
        </ext>
      </extLst>
    </bk>
    <bk>
      <extLst>
        <ext uri="{3e2802c4-a4d2-4d8b-9148-e3be6c30e623}">
          <xlrd:rvb i="1533"/>
        </ext>
      </extLst>
    </bk>
    <bk>
      <extLst>
        <ext uri="{3e2802c4-a4d2-4d8b-9148-e3be6c30e623}">
          <xlrd:rvb i="1534"/>
        </ext>
      </extLst>
    </bk>
    <bk>
      <extLst>
        <ext uri="{3e2802c4-a4d2-4d8b-9148-e3be6c30e623}">
          <xlrd:rvb i="1535"/>
        </ext>
      </extLst>
    </bk>
    <bk>
      <extLst>
        <ext uri="{3e2802c4-a4d2-4d8b-9148-e3be6c30e623}">
          <xlrd:rvb i="1536"/>
        </ext>
      </extLst>
    </bk>
    <bk>
      <extLst>
        <ext uri="{3e2802c4-a4d2-4d8b-9148-e3be6c30e623}">
          <xlrd:rvb i="1537"/>
        </ext>
      </extLst>
    </bk>
    <bk>
      <extLst>
        <ext uri="{3e2802c4-a4d2-4d8b-9148-e3be6c30e623}">
          <xlrd:rvb i="1538"/>
        </ext>
      </extLst>
    </bk>
    <bk>
      <extLst>
        <ext uri="{3e2802c4-a4d2-4d8b-9148-e3be6c30e623}">
          <xlrd:rvb i="1539"/>
        </ext>
      </extLst>
    </bk>
    <bk>
      <extLst>
        <ext uri="{3e2802c4-a4d2-4d8b-9148-e3be6c30e623}">
          <xlrd:rvb i="1540"/>
        </ext>
      </extLst>
    </bk>
    <bk>
      <extLst>
        <ext uri="{3e2802c4-a4d2-4d8b-9148-e3be6c30e623}">
          <xlrd:rvb i="1541"/>
        </ext>
      </extLst>
    </bk>
    <bk>
      <extLst>
        <ext uri="{3e2802c4-a4d2-4d8b-9148-e3be6c30e623}">
          <xlrd:rvb i="1542"/>
        </ext>
      </extLst>
    </bk>
    <bk>
      <extLst>
        <ext uri="{3e2802c4-a4d2-4d8b-9148-e3be6c30e623}">
          <xlrd:rvb i="1543"/>
        </ext>
      </extLst>
    </bk>
    <bk>
      <extLst>
        <ext uri="{3e2802c4-a4d2-4d8b-9148-e3be6c30e623}">
          <xlrd:rvb i="1544"/>
        </ext>
      </extLst>
    </bk>
    <bk>
      <extLst>
        <ext uri="{3e2802c4-a4d2-4d8b-9148-e3be6c30e623}">
          <xlrd:rvb i="1545"/>
        </ext>
      </extLst>
    </bk>
    <bk>
      <extLst>
        <ext uri="{3e2802c4-a4d2-4d8b-9148-e3be6c30e623}">
          <xlrd:rvb i="1546"/>
        </ext>
      </extLst>
    </bk>
    <bk>
      <extLst>
        <ext uri="{3e2802c4-a4d2-4d8b-9148-e3be6c30e623}">
          <xlrd:rvb i="1547"/>
        </ext>
      </extLst>
    </bk>
    <bk>
      <extLst>
        <ext uri="{3e2802c4-a4d2-4d8b-9148-e3be6c30e623}">
          <xlrd:rvb i="1548"/>
        </ext>
      </extLst>
    </bk>
    <bk>
      <extLst>
        <ext uri="{3e2802c4-a4d2-4d8b-9148-e3be6c30e623}">
          <xlrd:rvb i="1549"/>
        </ext>
      </extLst>
    </bk>
    <bk>
      <extLst>
        <ext uri="{3e2802c4-a4d2-4d8b-9148-e3be6c30e623}">
          <xlrd:rvb i="1550"/>
        </ext>
      </extLst>
    </bk>
    <bk>
      <extLst>
        <ext uri="{3e2802c4-a4d2-4d8b-9148-e3be6c30e623}">
          <xlrd:rvb i="1551"/>
        </ext>
      </extLst>
    </bk>
    <bk>
      <extLst>
        <ext uri="{3e2802c4-a4d2-4d8b-9148-e3be6c30e623}">
          <xlrd:rvb i="1552"/>
        </ext>
      </extLst>
    </bk>
    <bk>
      <extLst>
        <ext uri="{3e2802c4-a4d2-4d8b-9148-e3be6c30e623}">
          <xlrd:rvb i="1553"/>
        </ext>
      </extLst>
    </bk>
    <bk>
      <extLst>
        <ext uri="{3e2802c4-a4d2-4d8b-9148-e3be6c30e623}">
          <xlrd:rvb i="1554"/>
        </ext>
      </extLst>
    </bk>
    <bk>
      <extLst>
        <ext uri="{3e2802c4-a4d2-4d8b-9148-e3be6c30e623}">
          <xlrd:rvb i="1555"/>
        </ext>
      </extLst>
    </bk>
    <bk>
      <extLst>
        <ext uri="{3e2802c4-a4d2-4d8b-9148-e3be6c30e623}">
          <xlrd:rvb i="1556"/>
        </ext>
      </extLst>
    </bk>
    <bk>
      <extLst>
        <ext uri="{3e2802c4-a4d2-4d8b-9148-e3be6c30e623}">
          <xlrd:rvb i="1557"/>
        </ext>
      </extLst>
    </bk>
    <bk>
      <extLst>
        <ext uri="{3e2802c4-a4d2-4d8b-9148-e3be6c30e623}">
          <xlrd:rvb i="1558"/>
        </ext>
      </extLst>
    </bk>
    <bk>
      <extLst>
        <ext uri="{3e2802c4-a4d2-4d8b-9148-e3be6c30e623}">
          <xlrd:rvb i="1559"/>
        </ext>
      </extLst>
    </bk>
    <bk>
      <extLst>
        <ext uri="{3e2802c4-a4d2-4d8b-9148-e3be6c30e623}">
          <xlrd:rvb i="1560"/>
        </ext>
      </extLst>
    </bk>
    <bk>
      <extLst>
        <ext uri="{3e2802c4-a4d2-4d8b-9148-e3be6c30e623}">
          <xlrd:rvb i="1561"/>
        </ext>
      </extLst>
    </bk>
    <bk>
      <extLst>
        <ext uri="{3e2802c4-a4d2-4d8b-9148-e3be6c30e623}">
          <xlrd:rvb i="1562"/>
        </ext>
      </extLst>
    </bk>
    <bk>
      <extLst>
        <ext uri="{3e2802c4-a4d2-4d8b-9148-e3be6c30e623}">
          <xlrd:rvb i="1563"/>
        </ext>
      </extLst>
    </bk>
    <bk>
      <extLst>
        <ext uri="{3e2802c4-a4d2-4d8b-9148-e3be6c30e623}">
          <xlrd:rvb i="1564"/>
        </ext>
      </extLst>
    </bk>
    <bk>
      <extLst>
        <ext uri="{3e2802c4-a4d2-4d8b-9148-e3be6c30e623}">
          <xlrd:rvb i="1565"/>
        </ext>
      </extLst>
    </bk>
    <bk>
      <extLst>
        <ext uri="{3e2802c4-a4d2-4d8b-9148-e3be6c30e623}">
          <xlrd:rvb i="1566"/>
        </ext>
      </extLst>
    </bk>
    <bk>
      <extLst>
        <ext uri="{3e2802c4-a4d2-4d8b-9148-e3be6c30e623}">
          <xlrd:rvb i="1567"/>
        </ext>
      </extLst>
    </bk>
    <bk>
      <extLst>
        <ext uri="{3e2802c4-a4d2-4d8b-9148-e3be6c30e623}">
          <xlrd:rvb i="1568"/>
        </ext>
      </extLst>
    </bk>
    <bk>
      <extLst>
        <ext uri="{3e2802c4-a4d2-4d8b-9148-e3be6c30e623}">
          <xlrd:rvb i="1569"/>
        </ext>
      </extLst>
    </bk>
    <bk>
      <extLst>
        <ext uri="{3e2802c4-a4d2-4d8b-9148-e3be6c30e623}">
          <xlrd:rvb i="1570"/>
        </ext>
      </extLst>
    </bk>
    <bk>
      <extLst>
        <ext uri="{3e2802c4-a4d2-4d8b-9148-e3be6c30e623}">
          <xlrd:rvb i="1571"/>
        </ext>
      </extLst>
    </bk>
    <bk>
      <extLst>
        <ext uri="{3e2802c4-a4d2-4d8b-9148-e3be6c30e623}">
          <xlrd:rvb i="1572"/>
        </ext>
      </extLst>
    </bk>
    <bk>
      <extLst>
        <ext uri="{3e2802c4-a4d2-4d8b-9148-e3be6c30e623}">
          <xlrd:rvb i="1573"/>
        </ext>
      </extLst>
    </bk>
    <bk>
      <extLst>
        <ext uri="{3e2802c4-a4d2-4d8b-9148-e3be6c30e623}">
          <xlrd:rvb i="1574"/>
        </ext>
      </extLst>
    </bk>
    <bk>
      <extLst>
        <ext uri="{3e2802c4-a4d2-4d8b-9148-e3be6c30e623}">
          <xlrd:rvb i="1575"/>
        </ext>
      </extLst>
    </bk>
    <bk>
      <extLst>
        <ext uri="{3e2802c4-a4d2-4d8b-9148-e3be6c30e623}">
          <xlrd:rvb i="1576"/>
        </ext>
      </extLst>
    </bk>
    <bk>
      <extLst>
        <ext uri="{3e2802c4-a4d2-4d8b-9148-e3be6c30e623}">
          <xlrd:rvb i="1577"/>
        </ext>
      </extLst>
    </bk>
    <bk>
      <extLst>
        <ext uri="{3e2802c4-a4d2-4d8b-9148-e3be6c30e623}">
          <xlrd:rvb i="1578"/>
        </ext>
      </extLst>
    </bk>
    <bk>
      <extLst>
        <ext uri="{3e2802c4-a4d2-4d8b-9148-e3be6c30e623}">
          <xlrd:rvb i="1579"/>
        </ext>
      </extLst>
    </bk>
    <bk>
      <extLst>
        <ext uri="{3e2802c4-a4d2-4d8b-9148-e3be6c30e623}">
          <xlrd:rvb i="1580"/>
        </ext>
      </extLst>
    </bk>
    <bk>
      <extLst>
        <ext uri="{3e2802c4-a4d2-4d8b-9148-e3be6c30e623}">
          <xlrd:rvb i="1581"/>
        </ext>
      </extLst>
    </bk>
    <bk>
      <extLst>
        <ext uri="{3e2802c4-a4d2-4d8b-9148-e3be6c30e623}">
          <xlrd:rvb i="1582"/>
        </ext>
      </extLst>
    </bk>
    <bk>
      <extLst>
        <ext uri="{3e2802c4-a4d2-4d8b-9148-e3be6c30e623}">
          <xlrd:rvb i="1583"/>
        </ext>
      </extLst>
    </bk>
    <bk>
      <extLst>
        <ext uri="{3e2802c4-a4d2-4d8b-9148-e3be6c30e623}">
          <xlrd:rvb i="1584"/>
        </ext>
      </extLst>
    </bk>
    <bk>
      <extLst>
        <ext uri="{3e2802c4-a4d2-4d8b-9148-e3be6c30e623}">
          <xlrd:rvb i="1585"/>
        </ext>
      </extLst>
    </bk>
    <bk>
      <extLst>
        <ext uri="{3e2802c4-a4d2-4d8b-9148-e3be6c30e623}">
          <xlrd:rvb i="1586"/>
        </ext>
      </extLst>
    </bk>
    <bk>
      <extLst>
        <ext uri="{3e2802c4-a4d2-4d8b-9148-e3be6c30e623}">
          <xlrd:rvb i="1587"/>
        </ext>
      </extLst>
    </bk>
    <bk>
      <extLst>
        <ext uri="{3e2802c4-a4d2-4d8b-9148-e3be6c30e623}">
          <xlrd:rvb i="1588"/>
        </ext>
      </extLst>
    </bk>
    <bk>
      <extLst>
        <ext uri="{3e2802c4-a4d2-4d8b-9148-e3be6c30e623}">
          <xlrd:rvb i="1589"/>
        </ext>
      </extLst>
    </bk>
    <bk>
      <extLst>
        <ext uri="{3e2802c4-a4d2-4d8b-9148-e3be6c30e623}">
          <xlrd:rvb i="1590"/>
        </ext>
      </extLst>
    </bk>
    <bk>
      <extLst>
        <ext uri="{3e2802c4-a4d2-4d8b-9148-e3be6c30e623}">
          <xlrd:rvb i="1591"/>
        </ext>
      </extLst>
    </bk>
    <bk>
      <extLst>
        <ext uri="{3e2802c4-a4d2-4d8b-9148-e3be6c30e623}">
          <xlrd:rvb i="1592"/>
        </ext>
      </extLst>
    </bk>
    <bk>
      <extLst>
        <ext uri="{3e2802c4-a4d2-4d8b-9148-e3be6c30e623}">
          <xlrd:rvb i="1593"/>
        </ext>
      </extLst>
    </bk>
    <bk>
      <extLst>
        <ext uri="{3e2802c4-a4d2-4d8b-9148-e3be6c30e623}">
          <xlrd:rvb i="1594"/>
        </ext>
      </extLst>
    </bk>
    <bk>
      <extLst>
        <ext uri="{3e2802c4-a4d2-4d8b-9148-e3be6c30e623}">
          <xlrd:rvb i="1595"/>
        </ext>
      </extLst>
    </bk>
    <bk>
      <extLst>
        <ext uri="{3e2802c4-a4d2-4d8b-9148-e3be6c30e623}">
          <xlrd:rvb i="1596"/>
        </ext>
      </extLst>
    </bk>
    <bk>
      <extLst>
        <ext uri="{3e2802c4-a4d2-4d8b-9148-e3be6c30e623}">
          <xlrd:rvb i="1597"/>
        </ext>
      </extLst>
    </bk>
    <bk>
      <extLst>
        <ext uri="{3e2802c4-a4d2-4d8b-9148-e3be6c30e623}">
          <xlrd:rvb i="1598"/>
        </ext>
      </extLst>
    </bk>
    <bk>
      <extLst>
        <ext uri="{3e2802c4-a4d2-4d8b-9148-e3be6c30e623}">
          <xlrd:rvb i="1599"/>
        </ext>
      </extLst>
    </bk>
    <bk>
      <extLst>
        <ext uri="{3e2802c4-a4d2-4d8b-9148-e3be6c30e623}">
          <xlrd:rvb i="1600"/>
        </ext>
      </extLst>
    </bk>
    <bk>
      <extLst>
        <ext uri="{3e2802c4-a4d2-4d8b-9148-e3be6c30e623}">
          <xlrd:rvb i="1601"/>
        </ext>
      </extLst>
    </bk>
    <bk>
      <extLst>
        <ext uri="{3e2802c4-a4d2-4d8b-9148-e3be6c30e623}">
          <xlrd:rvb i="1602"/>
        </ext>
      </extLst>
    </bk>
    <bk>
      <extLst>
        <ext uri="{3e2802c4-a4d2-4d8b-9148-e3be6c30e623}">
          <xlrd:rvb i="1603"/>
        </ext>
      </extLst>
    </bk>
    <bk>
      <extLst>
        <ext uri="{3e2802c4-a4d2-4d8b-9148-e3be6c30e623}">
          <xlrd:rvb i="1604"/>
        </ext>
      </extLst>
    </bk>
    <bk>
      <extLst>
        <ext uri="{3e2802c4-a4d2-4d8b-9148-e3be6c30e623}">
          <xlrd:rvb i="1605"/>
        </ext>
      </extLst>
    </bk>
    <bk>
      <extLst>
        <ext uri="{3e2802c4-a4d2-4d8b-9148-e3be6c30e623}">
          <xlrd:rvb i="1606"/>
        </ext>
      </extLst>
    </bk>
    <bk>
      <extLst>
        <ext uri="{3e2802c4-a4d2-4d8b-9148-e3be6c30e623}">
          <xlrd:rvb i="1607"/>
        </ext>
      </extLst>
    </bk>
    <bk>
      <extLst>
        <ext uri="{3e2802c4-a4d2-4d8b-9148-e3be6c30e623}">
          <xlrd:rvb i="1608"/>
        </ext>
      </extLst>
    </bk>
    <bk>
      <extLst>
        <ext uri="{3e2802c4-a4d2-4d8b-9148-e3be6c30e623}">
          <xlrd:rvb i="1609"/>
        </ext>
      </extLst>
    </bk>
    <bk>
      <extLst>
        <ext uri="{3e2802c4-a4d2-4d8b-9148-e3be6c30e623}">
          <xlrd:rvb i="1610"/>
        </ext>
      </extLst>
    </bk>
    <bk>
      <extLst>
        <ext uri="{3e2802c4-a4d2-4d8b-9148-e3be6c30e623}">
          <xlrd:rvb i="1611"/>
        </ext>
      </extLst>
    </bk>
    <bk>
      <extLst>
        <ext uri="{3e2802c4-a4d2-4d8b-9148-e3be6c30e623}">
          <xlrd:rvb i="1612"/>
        </ext>
      </extLst>
    </bk>
    <bk>
      <extLst>
        <ext uri="{3e2802c4-a4d2-4d8b-9148-e3be6c30e623}">
          <xlrd:rvb i="1613"/>
        </ext>
      </extLst>
    </bk>
    <bk>
      <extLst>
        <ext uri="{3e2802c4-a4d2-4d8b-9148-e3be6c30e623}">
          <xlrd:rvb i="1614"/>
        </ext>
      </extLst>
    </bk>
    <bk>
      <extLst>
        <ext uri="{3e2802c4-a4d2-4d8b-9148-e3be6c30e623}">
          <xlrd:rvb i="1615"/>
        </ext>
      </extLst>
    </bk>
    <bk>
      <extLst>
        <ext uri="{3e2802c4-a4d2-4d8b-9148-e3be6c30e623}">
          <xlrd:rvb i="1616"/>
        </ext>
      </extLst>
    </bk>
    <bk>
      <extLst>
        <ext uri="{3e2802c4-a4d2-4d8b-9148-e3be6c30e623}">
          <xlrd:rvb i="1617"/>
        </ext>
      </extLst>
    </bk>
    <bk>
      <extLst>
        <ext uri="{3e2802c4-a4d2-4d8b-9148-e3be6c30e623}">
          <xlrd:rvb i="1618"/>
        </ext>
      </extLst>
    </bk>
    <bk>
      <extLst>
        <ext uri="{3e2802c4-a4d2-4d8b-9148-e3be6c30e623}">
          <xlrd:rvb i="1619"/>
        </ext>
      </extLst>
    </bk>
    <bk>
      <extLst>
        <ext uri="{3e2802c4-a4d2-4d8b-9148-e3be6c30e623}">
          <xlrd:rvb i="1620"/>
        </ext>
      </extLst>
    </bk>
    <bk>
      <extLst>
        <ext uri="{3e2802c4-a4d2-4d8b-9148-e3be6c30e623}">
          <xlrd:rvb i="1621"/>
        </ext>
      </extLst>
    </bk>
    <bk>
      <extLst>
        <ext uri="{3e2802c4-a4d2-4d8b-9148-e3be6c30e623}">
          <xlrd:rvb i="1622"/>
        </ext>
      </extLst>
    </bk>
    <bk>
      <extLst>
        <ext uri="{3e2802c4-a4d2-4d8b-9148-e3be6c30e623}">
          <xlrd:rvb i="1623"/>
        </ext>
      </extLst>
    </bk>
    <bk>
      <extLst>
        <ext uri="{3e2802c4-a4d2-4d8b-9148-e3be6c30e623}">
          <xlrd:rvb i="1624"/>
        </ext>
      </extLst>
    </bk>
    <bk>
      <extLst>
        <ext uri="{3e2802c4-a4d2-4d8b-9148-e3be6c30e623}">
          <xlrd:rvb i="1625"/>
        </ext>
      </extLst>
    </bk>
    <bk>
      <extLst>
        <ext uri="{3e2802c4-a4d2-4d8b-9148-e3be6c30e623}">
          <xlrd:rvb i="1626"/>
        </ext>
      </extLst>
    </bk>
    <bk>
      <extLst>
        <ext uri="{3e2802c4-a4d2-4d8b-9148-e3be6c30e623}">
          <xlrd:rvb i="1627"/>
        </ext>
      </extLst>
    </bk>
    <bk>
      <extLst>
        <ext uri="{3e2802c4-a4d2-4d8b-9148-e3be6c30e623}">
          <xlrd:rvb i="1628"/>
        </ext>
      </extLst>
    </bk>
    <bk>
      <extLst>
        <ext uri="{3e2802c4-a4d2-4d8b-9148-e3be6c30e623}">
          <xlrd:rvb i="1629"/>
        </ext>
      </extLst>
    </bk>
    <bk>
      <extLst>
        <ext uri="{3e2802c4-a4d2-4d8b-9148-e3be6c30e623}">
          <xlrd:rvb i="1630"/>
        </ext>
      </extLst>
    </bk>
    <bk>
      <extLst>
        <ext uri="{3e2802c4-a4d2-4d8b-9148-e3be6c30e623}">
          <xlrd:rvb i="1631"/>
        </ext>
      </extLst>
    </bk>
    <bk>
      <extLst>
        <ext uri="{3e2802c4-a4d2-4d8b-9148-e3be6c30e623}">
          <xlrd:rvb i="1632"/>
        </ext>
      </extLst>
    </bk>
    <bk>
      <extLst>
        <ext uri="{3e2802c4-a4d2-4d8b-9148-e3be6c30e623}">
          <xlrd:rvb i="1633"/>
        </ext>
      </extLst>
    </bk>
    <bk>
      <extLst>
        <ext uri="{3e2802c4-a4d2-4d8b-9148-e3be6c30e623}">
          <xlrd:rvb i="1634"/>
        </ext>
      </extLst>
    </bk>
    <bk>
      <extLst>
        <ext uri="{3e2802c4-a4d2-4d8b-9148-e3be6c30e623}">
          <xlrd:rvb i="1635"/>
        </ext>
      </extLst>
    </bk>
    <bk>
      <extLst>
        <ext uri="{3e2802c4-a4d2-4d8b-9148-e3be6c30e623}">
          <xlrd:rvb i="1636"/>
        </ext>
      </extLst>
    </bk>
    <bk>
      <extLst>
        <ext uri="{3e2802c4-a4d2-4d8b-9148-e3be6c30e623}">
          <xlrd:rvb i="1637"/>
        </ext>
      </extLst>
    </bk>
    <bk>
      <extLst>
        <ext uri="{3e2802c4-a4d2-4d8b-9148-e3be6c30e623}">
          <xlrd:rvb i="1638"/>
        </ext>
      </extLst>
    </bk>
    <bk>
      <extLst>
        <ext uri="{3e2802c4-a4d2-4d8b-9148-e3be6c30e623}">
          <xlrd:rvb i="1639"/>
        </ext>
      </extLst>
    </bk>
    <bk>
      <extLst>
        <ext uri="{3e2802c4-a4d2-4d8b-9148-e3be6c30e623}">
          <xlrd:rvb i="1640"/>
        </ext>
      </extLst>
    </bk>
    <bk>
      <extLst>
        <ext uri="{3e2802c4-a4d2-4d8b-9148-e3be6c30e623}">
          <xlrd:rvb i="1641"/>
        </ext>
      </extLst>
    </bk>
    <bk>
      <extLst>
        <ext uri="{3e2802c4-a4d2-4d8b-9148-e3be6c30e623}">
          <xlrd:rvb i="1642"/>
        </ext>
      </extLst>
    </bk>
    <bk>
      <extLst>
        <ext uri="{3e2802c4-a4d2-4d8b-9148-e3be6c30e623}">
          <xlrd:rvb i="1643"/>
        </ext>
      </extLst>
    </bk>
    <bk>
      <extLst>
        <ext uri="{3e2802c4-a4d2-4d8b-9148-e3be6c30e623}">
          <xlrd:rvb i="1644"/>
        </ext>
      </extLst>
    </bk>
    <bk>
      <extLst>
        <ext uri="{3e2802c4-a4d2-4d8b-9148-e3be6c30e623}">
          <xlrd:rvb i="1645"/>
        </ext>
      </extLst>
    </bk>
    <bk>
      <extLst>
        <ext uri="{3e2802c4-a4d2-4d8b-9148-e3be6c30e623}">
          <xlrd:rvb i="1646"/>
        </ext>
      </extLst>
    </bk>
    <bk>
      <extLst>
        <ext uri="{3e2802c4-a4d2-4d8b-9148-e3be6c30e623}">
          <xlrd:rvb i="1647"/>
        </ext>
      </extLst>
    </bk>
    <bk>
      <extLst>
        <ext uri="{3e2802c4-a4d2-4d8b-9148-e3be6c30e623}">
          <xlrd:rvb i="1648"/>
        </ext>
      </extLst>
    </bk>
    <bk>
      <extLst>
        <ext uri="{3e2802c4-a4d2-4d8b-9148-e3be6c30e623}">
          <xlrd:rvb i="1649"/>
        </ext>
      </extLst>
    </bk>
    <bk>
      <extLst>
        <ext uri="{3e2802c4-a4d2-4d8b-9148-e3be6c30e623}">
          <xlrd:rvb i="1650"/>
        </ext>
      </extLst>
    </bk>
    <bk>
      <extLst>
        <ext uri="{3e2802c4-a4d2-4d8b-9148-e3be6c30e623}">
          <xlrd:rvb i="1651"/>
        </ext>
      </extLst>
    </bk>
    <bk>
      <extLst>
        <ext uri="{3e2802c4-a4d2-4d8b-9148-e3be6c30e623}">
          <xlrd:rvb i="1652"/>
        </ext>
      </extLst>
    </bk>
    <bk>
      <extLst>
        <ext uri="{3e2802c4-a4d2-4d8b-9148-e3be6c30e623}">
          <xlrd:rvb i="1653"/>
        </ext>
      </extLst>
    </bk>
    <bk>
      <extLst>
        <ext uri="{3e2802c4-a4d2-4d8b-9148-e3be6c30e623}">
          <xlrd:rvb i="1654"/>
        </ext>
      </extLst>
    </bk>
    <bk>
      <extLst>
        <ext uri="{3e2802c4-a4d2-4d8b-9148-e3be6c30e623}">
          <xlrd:rvb i="1655"/>
        </ext>
      </extLst>
    </bk>
    <bk>
      <extLst>
        <ext uri="{3e2802c4-a4d2-4d8b-9148-e3be6c30e623}">
          <xlrd:rvb i="1656"/>
        </ext>
      </extLst>
    </bk>
    <bk>
      <extLst>
        <ext uri="{3e2802c4-a4d2-4d8b-9148-e3be6c30e623}">
          <xlrd:rvb i="1657"/>
        </ext>
      </extLst>
    </bk>
    <bk>
      <extLst>
        <ext uri="{3e2802c4-a4d2-4d8b-9148-e3be6c30e623}">
          <xlrd:rvb i="1658"/>
        </ext>
      </extLst>
    </bk>
    <bk>
      <extLst>
        <ext uri="{3e2802c4-a4d2-4d8b-9148-e3be6c30e623}">
          <xlrd:rvb i="1659"/>
        </ext>
      </extLst>
    </bk>
    <bk>
      <extLst>
        <ext uri="{3e2802c4-a4d2-4d8b-9148-e3be6c30e623}">
          <xlrd:rvb i="1660"/>
        </ext>
      </extLst>
    </bk>
    <bk>
      <extLst>
        <ext uri="{3e2802c4-a4d2-4d8b-9148-e3be6c30e623}">
          <xlrd:rvb i="1661"/>
        </ext>
      </extLst>
    </bk>
    <bk>
      <extLst>
        <ext uri="{3e2802c4-a4d2-4d8b-9148-e3be6c30e623}">
          <xlrd:rvb i="1662"/>
        </ext>
      </extLst>
    </bk>
    <bk>
      <extLst>
        <ext uri="{3e2802c4-a4d2-4d8b-9148-e3be6c30e623}">
          <xlrd:rvb i="1663"/>
        </ext>
      </extLst>
    </bk>
    <bk>
      <extLst>
        <ext uri="{3e2802c4-a4d2-4d8b-9148-e3be6c30e623}">
          <xlrd:rvb i="1664"/>
        </ext>
      </extLst>
    </bk>
    <bk>
      <extLst>
        <ext uri="{3e2802c4-a4d2-4d8b-9148-e3be6c30e623}">
          <xlrd:rvb i="1665"/>
        </ext>
      </extLst>
    </bk>
    <bk>
      <extLst>
        <ext uri="{3e2802c4-a4d2-4d8b-9148-e3be6c30e623}">
          <xlrd:rvb i="1666"/>
        </ext>
      </extLst>
    </bk>
    <bk>
      <extLst>
        <ext uri="{3e2802c4-a4d2-4d8b-9148-e3be6c30e623}">
          <xlrd:rvb i="1667"/>
        </ext>
      </extLst>
    </bk>
    <bk>
      <extLst>
        <ext uri="{3e2802c4-a4d2-4d8b-9148-e3be6c30e623}">
          <xlrd:rvb i="1668"/>
        </ext>
      </extLst>
    </bk>
    <bk>
      <extLst>
        <ext uri="{3e2802c4-a4d2-4d8b-9148-e3be6c30e623}">
          <xlrd:rvb i="1669"/>
        </ext>
      </extLst>
    </bk>
    <bk>
      <extLst>
        <ext uri="{3e2802c4-a4d2-4d8b-9148-e3be6c30e623}">
          <xlrd:rvb i="1670"/>
        </ext>
      </extLst>
    </bk>
    <bk>
      <extLst>
        <ext uri="{3e2802c4-a4d2-4d8b-9148-e3be6c30e623}">
          <xlrd:rvb i="1671"/>
        </ext>
      </extLst>
    </bk>
    <bk>
      <extLst>
        <ext uri="{3e2802c4-a4d2-4d8b-9148-e3be6c30e623}">
          <xlrd:rvb i="1672"/>
        </ext>
      </extLst>
    </bk>
    <bk>
      <extLst>
        <ext uri="{3e2802c4-a4d2-4d8b-9148-e3be6c30e623}">
          <xlrd:rvb i="1673"/>
        </ext>
      </extLst>
    </bk>
    <bk>
      <extLst>
        <ext uri="{3e2802c4-a4d2-4d8b-9148-e3be6c30e623}">
          <xlrd:rvb i="1674"/>
        </ext>
      </extLst>
    </bk>
    <bk>
      <extLst>
        <ext uri="{3e2802c4-a4d2-4d8b-9148-e3be6c30e623}">
          <xlrd:rvb i="1675"/>
        </ext>
      </extLst>
    </bk>
    <bk>
      <extLst>
        <ext uri="{3e2802c4-a4d2-4d8b-9148-e3be6c30e623}">
          <xlrd:rvb i="1676"/>
        </ext>
      </extLst>
    </bk>
    <bk>
      <extLst>
        <ext uri="{3e2802c4-a4d2-4d8b-9148-e3be6c30e623}">
          <xlrd:rvb i="1677"/>
        </ext>
      </extLst>
    </bk>
    <bk>
      <extLst>
        <ext uri="{3e2802c4-a4d2-4d8b-9148-e3be6c30e623}">
          <xlrd:rvb i="1678"/>
        </ext>
      </extLst>
    </bk>
    <bk>
      <extLst>
        <ext uri="{3e2802c4-a4d2-4d8b-9148-e3be6c30e623}">
          <xlrd:rvb i="1679"/>
        </ext>
      </extLst>
    </bk>
    <bk>
      <extLst>
        <ext uri="{3e2802c4-a4d2-4d8b-9148-e3be6c30e623}">
          <xlrd:rvb i="1680"/>
        </ext>
      </extLst>
    </bk>
    <bk>
      <extLst>
        <ext uri="{3e2802c4-a4d2-4d8b-9148-e3be6c30e623}">
          <xlrd:rvb i="1681"/>
        </ext>
      </extLst>
    </bk>
    <bk>
      <extLst>
        <ext uri="{3e2802c4-a4d2-4d8b-9148-e3be6c30e623}">
          <xlrd:rvb i="1682"/>
        </ext>
      </extLst>
    </bk>
    <bk>
      <extLst>
        <ext uri="{3e2802c4-a4d2-4d8b-9148-e3be6c30e623}">
          <xlrd:rvb i="1683"/>
        </ext>
      </extLst>
    </bk>
    <bk>
      <extLst>
        <ext uri="{3e2802c4-a4d2-4d8b-9148-e3be6c30e623}">
          <xlrd:rvb i="1684"/>
        </ext>
      </extLst>
    </bk>
    <bk>
      <extLst>
        <ext uri="{3e2802c4-a4d2-4d8b-9148-e3be6c30e623}">
          <xlrd:rvb i="1685"/>
        </ext>
      </extLst>
    </bk>
    <bk>
      <extLst>
        <ext uri="{3e2802c4-a4d2-4d8b-9148-e3be6c30e623}">
          <xlrd:rvb i="1686"/>
        </ext>
      </extLst>
    </bk>
    <bk>
      <extLst>
        <ext uri="{3e2802c4-a4d2-4d8b-9148-e3be6c30e623}">
          <xlrd:rvb i="1687"/>
        </ext>
      </extLst>
    </bk>
    <bk>
      <extLst>
        <ext uri="{3e2802c4-a4d2-4d8b-9148-e3be6c30e623}">
          <xlrd:rvb i="1688"/>
        </ext>
      </extLst>
    </bk>
    <bk>
      <extLst>
        <ext uri="{3e2802c4-a4d2-4d8b-9148-e3be6c30e623}">
          <xlrd:rvb i="1689"/>
        </ext>
      </extLst>
    </bk>
    <bk>
      <extLst>
        <ext uri="{3e2802c4-a4d2-4d8b-9148-e3be6c30e623}">
          <xlrd:rvb i="1690"/>
        </ext>
      </extLst>
    </bk>
    <bk>
      <extLst>
        <ext uri="{3e2802c4-a4d2-4d8b-9148-e3be6c30e623}">
          <xlrd:rvb i="1691"/>
        </ext>
      </extLst>
    </bk>
    <bk>
      <extLst>
        <ext uri="{3e2802c4-a4d2-4d8b-9148-e3be6c30e623}">
          <xlrd:rvb i="1692"/>
        </ext>
      </extLst>
    </bk>
    <bk>
      <extLst>
        <ext uri="{3e2802c4-a4d2-4d8b-9148-e3be6c30e623}">
          <xlrd:rvb i="1693"/>
        </ext>
      </extLst>
    </bk>
    <bk>
      <extLst>
        <ext uri="{3e2802c4-a4d2-4d8b-9148-e3be6c30e623}">
          <xlrd:rvb i="1694"/>
        </ext>
      </extLst>
    </bk>
    <bk>
      <extLst>
        <ext uri="{3e2802c4-a4d2-4d8b-9148-e3be6c30e623}">
          <xlrd:rvb i="1695"/>
        </ext>
      </extLst>
    </bk>
    <bk>
      <extLst>
        <ext uri="{3e2802c4-a4d2-4d8b-9148-e3be6c30e623}">
          <xlrd:rvb i="1696"/>
        </ext>
      </extLst>
    </bk>
    <bk>
      <extLst>
        <ext uri="{3e2802c4-a4d2-4d8b-9148-e3be6c30e623}">
          <xlrd:rvb i="1697"/>
        </ext>
      </extLst>
    </bk>
    <bk>
      <extLst>
        <ext uri="{3e2802c4-a4d2-4d8b-9148-e3be6c30e623}">
          <xlrd:rvb i="1698"/>
        </ext>
      </extLst>
    </bk>
    <bk>
      <extLst>
        <ext uri="{3e2802c4-a4d2-4d8b-9148-e3be6c30e623}">
          <xlrd:rvb i="1699"/>
        </ext>
      </extLst>
    </bk>
    <bk>
      <extLst>
        <ext uri="{3e2802c4-a4d2-4d8b-9148-e3be6c30e623}">
          <xlrd:rvb i="1700"/>
        </ext>
      </extLst>
    </bk>
    <bk>
      <extLst>
        <ext uri="{3e2802c4-a4d2-4d8b-9148-e3be6c30e623}">
          <xlrd:rvb i="1701"/>
        </ext>
      </extLst>
    </bk>
    <bk>
      <extLst>
        <ext uri="{3e2802c4-a4d2-4d8b-9148-e3be6c30e623}">
          <xlrd:rvb i="1702"/>
        </ext>
      </extLst>
    </bk>
    <bk>
      <extLst>
        <ext uri="{3e2802c4-a4d2-4d8b-9148-e3be6c30e623}">
          <xlrd:rvb i="1703"/>
        </ext>
      </extLst>
    </bk>
    <bk>
      <extLst>
        <ext uri="{3e2802c4-a4d2-4d8b-9148-e3be6c30e623}">
          <xlrd:rvb i="1706"/>
        </ext>
      </extLst>
    </bk>
    <bk>
      <extLst>
        <ext uri="{3e2802c4-a4d2-4d8b-9148-e3be6c30e623}">
          <xlrd:rvb i="1707"/>
        </ext>
      </extLst>
    </bk>
    <bk>
      <extLst>
        <ext uri="{3e2802c4-a4d2-4d8b-9148-e3be6c30e623}">
          <xlrd:rvb i="1708"/>
        </ext>
      </extLst>
    </bk>
    <bk>
      <extLst>
        <ext uri="{3e2802c4-a4d2-4d8b-9148-e3be6c30e623}">
          <xlrd:rvb i="1709"/>
        </ext>
      </extLst>
    </bk>
    <bk>
      <extLst>
        <ext uri="{3e2802c4-a4d2-4d8b-9148-e3be6c30e623}">
          <xlrd:rvb i="1710"/>
        </ext>
      </extLst>
    </bk>
    <bk>
      <extLst>
        <ext uri="{3e2802c4-a4d2-4d8b-9148-e3be6c30e623}">
          <xlrd:rvb i="1711"/>
        </ext>
      </extLst>
    </bk>
    <bk>
      <extLst>
        <ext uri="{3e2802c4-a4d2-4d8b-9148-e3be6c30e623}">
          <xlrd:rvb i="1712"/>
        </ext>
      </extLst>
    </bk>
    <bk>
      <extLst>
        <ext uri="{3e2802c4-a4d2-4d8b-9148-e3be6c30e623}">
          <xlrd:rvb i="1713"/>
        </ext>
      </extLst>
    </bk>
    <bk>
      <extLst>
        <ext uri="{3e2802c4-a4d2-4d8b-9148-e3be6c30e623}">
          <xlrd:rvb i="1714"/>
        </ext>
      </extLst>
    </bk>
    <bk>
      <extLst>
        <ext uri="{3e2802c4-a4d2-4d8b-9148-e3be6c30e623}">
          <xlrd:rvb i="1715"/>
        </ext>
      </extLst>
    </bk>
    <bk>
      <extLst>
        <ext uri="{3e2802c4-a4d2-4d8b-9148-e3be6c30e623}">
          <xlrd:rvb i="1716"/>
        </ext>
      </extLst>
    </bk>
    <bk>
      <extLst>
        <ext uri="{3e2802c4-a4d2-4d8b-9148-e3be6c30e623}">
          <xlrd:rvb i="1717"/>
        </ext>
      </extLst>
    </bk>
    <bk>
      <extLst>
        <ext uri="{3e2802c4-a4d2-4d8b-9148-e3be6c30e623}">
          <xlrd:rvb i="1718"/>
        </ext>
      </extLst>
    </bk>
    <bk>
      <extLst>
        <ext uri="{3e2802c4-a4d2-4d8b-9148-e3be6c30e623}">
          <xlrd:rvb i="1719"/>
        </ext>
      </extLst>
    </bk>
    <bk>
      <extLst>
        <ext uri="{3e2802c4-a4d2-4d8b-9148-e3be6c30e623}">
          <xlrd:rvb i="1720"/>
        </ext>
      </extLst>
    </bk>
    <bk>
      <extLst>
        <ext uri="{3e2802c4-a4d2-4d8b-9148-e3be6c30e623}">
          <xlrd:rvb i="1721"/>
        </ext>
      </extLst>
    </bk>
    <bk>
      <extLst>
        <ext uri="{3e2802c4-a4d2-4d8b-9148-e3be6c30e623}">
          <xlrd:rvb i="1722"/>
        </ext>
      </extLst>
    </bk>
    <bk>
      <extLst>
        <ext uri="{3e2802c4-a4d2-4d8b-9148-e3be6c30e623}">
          <xlrd:rvb i="1723"/>
        </ext>
      </extLst>
    </bk>
    <bk>
      <extLst>
        <ext uri="{3e2802c4-a4d2-4d8b-9148-e3be6c30e623}">
          <xlrd:rvb i="1724"/>
        </ext>
      </extLst>
    </bk>
    <bk>
      <extLst>
        <ext uri="{3e2802c4-a4d2-4d8b-9148-e3be6c30e623}">
          <xlrd:rvb i="1725"/>
        </ext>
      </extLst>
    </bk>
    <bk>
      <extLst>
        <ext uri="{3e2802c4-a4d2-4d8b-9148-e3be6c30e623}">
          <xlrd:rvb i="1726"/>
        </ext>
      </extLst>
    </bk>
    <bk>
      <extLst>
        <ext uri="{3e2802c4-a4d2-4d8b-9148-e3be6c30e623}">
          <xlrd:rvb i="1727"/>
        </ext>
      </extLst>
    </bk>
    <bk>
      <extLst>
        <ext uri="{3e2802c4-a4d2-4d8b-9148-e3be6c30e623}">
          <xlrd:rvb i="1728"/>
        </ext>
      </extLst>
    </bk>
    <bk>
      <extLst>
        <ext uri="{3e2802c4-a4d2-4d8b-9148-e3be6c30e623}">
          <xlrd:rvb i="1729"/>
        </ext>
      </extLst>
    </bk>
    <bk>
      <extLst>
        <ext uri="{3e2802c4-a4d2-4d8b-9148-e3be6c30e623}">
          <xlrd:rvb i="1730"/>
        </ext>
      </extLst>
    </bk>
    <bk>
      <extLst>
        <ext uri="{3e2802c4-a4d2-4d8b-9148-e3be6c30e623}">
          <xlrd:rvb i="1731"/>
        </ext>
      </extLst>
    </bk>
    <bk>
      <extLst>
        <ext uri="{3e2802c4-a4d2-4d8b-9148-e3be6c30e623}">
          <xlrd:rvb i="1732"/>
        </ext>
      </extLst>
    </bk>
    <bk>
      <extLst>
        <ext uri="{3e2802c4-a4d2-4d8b-9148-e3be6c30e623}">
          <xlrd:rvb i="1733"/>
        </ext>
      </extLst>
    </bk>
    <bk>
      <extLst>
        <ext uri="{3e2802c4-a4d2-4d8b-9148-e3be6c30e623}">
          <xlrd:rvb i="1734"/>
        </ext>
      </extLst>
    </bk>
    <bk>
      <extLst>
        <ext uri="{3e2802c4-a4d2-4d8b-9148-e3be6c30e623}">
          <xlrd:rvb i="1735"/>
        </ext>
      </extLst>
    </bk>
    <bk>
      <extLst>
        <ext uri="{3e2802c4-a4d2-4d8b-9148-e3be6c30e623}">
          <xlrd:rvb i="1736"/>
        </ext>
      </extLst>
    </bk>
    <bk>
      <extLst>
        <ext uri="{3e2802c4-a4d2-4d8b-9148-e3be6c30e623}">
          <xlrd:rvb i="1737"/>
        </ext>
      </extLst>
    </bk>
    <bk>
      <extLst>
        <ext uri="{3e2802c4-a4d2-4d8b-9148-e3be6c30e623}">
          <xlrd:rvb i="1738"/>
        </ext>
      </extLst>
    </bk>
    <bk>
      <extLst>
        <ext uri="{3e2802c4-a4d2-4d8b-9148-e3be6c30e623}">
          <xlrd:rvb i="1739"/>
        </ext>
      </extLst>
    </bk>
    <bk>
      <extLst>
        <ext uri="{3e2802c4-a4d2-4d8b-9148-e3be6c30e623}">
          <xlrd:rvb i="1740"/>
        </ext>
      </extLst>
    </bk>
    <bk>
      <extLst>
        <ext uri="{3e2802c4-a4d2-4d8b-9148-e3be6c30e623}">
          <xlrd:rvb i="1741"/>
        </ext>
      </extLst>
    </bk>
    <bk>
      <extLst>
        <ext uri="{3e2802c4-a4d2-4d8b-9148-e3be6c30e623}">
          <xlrd:rvb i="1742"/>
        </ext>
      </extLst>
    </bk>
    <bk>
      <extLst>
        <ext uri="{3e2802c4-a4d2-4d8b-9148-e3be6c30e623}">
          <xlrd:rvb i="1743"/>
        </ext>
      </extLst>
    </bk>
    <bk>
      <extLst>
        <ext uri="{3e2802c4-a4d2-4d8b-9148-e3be6c30e623}">
          <xlrd:rvb i="1744"/>
        </ext>
      </extLst>
    </bk>
    <bk>
      <extLst>
        <ext uri="{3e2802c4-a4d2-4d8b-9148-e3be6c30e623}">
          <xlrd:rvb i="1745"/>
        </ext>
      </extLst>
    </bk>
    <bk>
      <extLst>
        <ext uri="{3e2802c4-a4d2-4d8b-9148-e3be6c30e623}">
          <xlrd:rvb i="1746"/>
        </ext>
      </extLst>
    </bk>
    <bk>
      <extLst>
        <ext uri="{3e2802c4-a4d2-4d8b-9148-e3be6c30e623}">
          <xlrd:rvb i="1747"/>
        </ext>
      </extLst>
    </bk>
    <bk>
      <extLst>
        <ext uri="{3e2802c4-a4d2-4d8b-9148-e3be6c30e623}">
          <xlrd:rvb i="1748"/>
        </ext>
      </extLst>
    </bk>
    <bk>
      <extLst>
        <ext uri="{3e2802c4-a4d2-4d8b-9148-e3be6c30e623}">
          <xlrd:rvb i="1749"/>
        </ext>
      </extLst>
    </bk>
    <bk>
      <extLst>
        <ext uri="{3e2802c4-a4d2-4d8b-9148-e3be6c30e623}">
          <xlrd:rvb i="1750"/>
        </ext>
      </extLst>
    </bk>
    <bk>
      <extLst>
        <ext uri="{3e2802c4-a4d2-4d8b-9148-e3be6c30e623}">
          <xlrd:rvb i="1751"/>
        </ext>
      </extLst>
    </bk>
    <bk>
      <extLst>
        <ext uri="{3e2802c4-a4d2-4d8b-9148-e3be6c30e623}">
          <xlrd:rvb i="1752"/>
        </ext>
      </extLst>
    </bk>
    <bk>
      <extLst>
        <ext uri="{3e2802c4-a4d2-4d8b-9148-e3be6c30e623}">
          <xlrd:rvb i="1753"/>
        </ext>
      </extLst>
    </bk>
    <bk>
      <extLst>
        <ext uri="{3e2802c4-a4d2-4d8b-9148-e3be6c30e623}">
          <xlrd:rvb i="1754"/>
        </ext>
      </extLst>
    </bk>
    <bk>
      <extLst>
        <ext uri="{3e2802c4-a4d2-4d8b-9148-e3be6c30e623}">
          <xlrd:rvb i="1755"/>
        </ext>
      </extLst>
    </bk>
    <bk>
      <extLst>
        <ext uri="{3e2802c4-a4d2-4d8b-9148-e3be6c30e623}">
          <xlrd:rvb i="1756"/>
        </ext>
      </extLst>
    </bk>
    <bk>
      <extLst>
        <ext uri="{3e2802c4-a4d2-4d8b-9148-e3be6c30e623}">
          <xlrd:rvb i="1757"/>
        </ext>
      </extLst>
    </bk>
    <bk>
      <extLst>
        <ext uri="{3e2802c4-a4d2-4d8b-9148-e3be6c30e623}">
          <xlrd:rvb i="1758"/>
        </ext>
      </extLst>
    </bk>
    <bk>
      <extLst>
        <ext uri="{3e2802c4-a4d2-4d8b-9148-e3be6c30e623}">
          <xlrd:rvb i="1759"/>
        </ext>
      </extLst>
    </bk>
    <bk>
      <extLst>
        <ext uri="{3e2802c4-a4d2-4d8b-9148-e3be6c30e623}">
          <xlrd:rvb i="1760"/>
        </ext>
      </extLst>
    </bk>
    <bk>
      <extLst>
        <ext uri="{3e2802c4-a4d2-4d8b-9148-e3be6c30e623}">
          <xlrd:rvb i="1761"/>
        </ext>
      </extLst>
    </bk>
    <bk>
      <extLst>
        <ext uri="{3e2802c4-a4d2-4d8b-9148-e3be6c30e623}">
          <xlrd:rvb i="1762"/>
        </ext>
      </extLst>
    </bk>
    <bk>
      <extLst>
        <ext uri="{3e2802c4-a4d2-4d8b-9148-e3be6c30e623}">
          <xlrd:rvb i="1763"/>
        </ext>
      </extLst>
    </bk>
    <bk>
      <extLst>
        <ext uri="{3e2802c4-a4d2-4d8b-9148-e3be6c30e623}">
          <xlrd:rvb i="1764"/>
        </ext>
      </extLst>
    </bk>
    <bk>
      <extLst>
        <ext uri="{3e2802c4-a4d2-4d8b-9148-e3be6c30e623}">
          <xlrd:rvb i="1765"/>
        </ext>
      </extLst>
    </bk>
    <bk>
      <extLst>
        <ext uri="{3e2802c4-a4d2-4d8b-9148-e3be6c30e623}">
          <xlrd:rvb i="1766"/>
        </ext>
      </extLst>
    </bk>
    <bk>
      <extLst>
        <ext uri="{3e2802c4-a4d2-4d8b-9148-e3be6c30e623}">
          <xlrd:rvb i="1767"/>
        </ext>
      </extLst>
    </bk>
    <bk>
      <extLst>
        <ext uri="{3e2802c4-a4d2-4d8b-9148-e3be6c30e623}">
          <xlrd:rvb i="1768"/>
        </ext>
      </extLst>
    </bk>
    <bk>
      <extLst>
        <ext uri="{3e2802c4-a4d2-4d8b-9148-e3be6c30e623}">
          <xlrd:rvb i="1769"/>
        </ext>
      </extLst>
    </bk>
    <bk>
      <extLst>
        <ext uri="{3e2802c4-a4d2-4d8b-9148-e3be6c30e623}">
          <xlrd:rvb i="1770"/>
        </ext>
      </extLst>
    </bk>
    <bk>
      <extLst>
        <ext uri="{3e2802c4-a4d2-4d8b-9148-e3be6c30e623}">
          <xlrd:rvb i="1771"/>
        </ext>
      </extLst>
    </bk>
    <bk>
      <extLst>
        <ext uri="{3e2802c4-a4d2-4d8b-9148-e3be6c30e623}">
          <xlrd:rvb i="1772"/>
        </ext>
      </extLst>
    </bk>
    <bk>
      <extLst>
        <ext uri="{3e2802c4-a4d2-4d8b-9148-e3be6c30e623}">
          <xlrd:rvb i="1773"/>
        </ext>
      </extLst>
    </bk>
    <bk>
      <extLst>
        <ext uri="{3e2802c4-a4d2-4d8b-9148-e3be6c30e623}">
          <xlrd:rvb i="1774"/>
        </ext>
      </extLst>
    </bk>
    <bk>
      <extLst>
        <ext uri="{3e2802c4-a4d2-4d8b-9148-e3be6c30e623}">
          <xlrd:rvb i="1775"/>
        </ext>
      </extLst>
    </bk>
    <bk>
      <extLst>
        <ext uri="{3e2802c4-a4d2-4d8b-9148-e3be6c30e623}">
          <xlrd:rvb i="1776"/>
        </ext>
      </extLst>
    </bk>
    <bk>
      <extLst>
        <ext uri="{3e2802c4-a4d2-4d8b-9148-e3be6c30e623}">
          <xlrd:rvb i="1777"/>
        </ext>
      </extLst>
    </bk>
    <bk>
      <extLst>
        <ext uri="{3e2802c4-a4d2-4d8b-9148-e3be6c30e623}">
          <xlrd:rvb i="1778"/>
        </ext>
      </extLst>
    </bk>
    <bk>
      <extLst>
        <ext uri="{3e2802c4-a4d2-4d8b-9148-e3be6c30e623}">
          <xlrd:rvb i="1779"/>
        </ext>
      </extLst>
    </bk>
    <bk>
      <extLst>
        <ext uri="{3e2802c4-a4d2-4d8b-9148-e3be6c30e623}">
          <xlrd:rvb i="1780"/>
        </ext>
      </extLst>
    </bk>
    <bk>
      <extLst>
        <ext uri="{3e2802c4-a4d2-4d8b-9148-e3be6c30e623}">
          <xlrd:rvb i="1781"/>
        </ext>
      </extLst>
    </bk>
    <bk>
      <extLst>
        <ext uri="{3e2802c4-a4d2-4d8b-9148-e3be6c30e623}">
          <xlrd:rvb i="1782"/>
        </ext>
      </extLst>
    </bk>
    <bk>
      <extLst>
        <ext uri="{3e2802c4-a4d2-4d8b-9148-e3be6c30e623}">
          <xlrd:rvb i="1783"/>
        </ext>
      </extLst>
    </bk>
    <bk>
      <extLst>
        <ext uri="{3e2802c4-a4d2-4d8b-9148-e3be6c30e623}">
          <xlrd:rvb i="1784"/>
        </ext>
      </extLst>
    </bk>
    <bk>
      <extLst>
        <ext uri="{3e2802c4-a4d2-4d8b-9148-e3be6c30e623}">
          <xlrd:rvb i="1785"/>
        </ext>
      </extLst>
    </bk>
    <bk>
      <extLst>
        <ext uri="{3e2802c4-a4d2-4d8b-9148-e3be6c30e623}">
          <xlrd:rvb i="1786"/>
        </ext>
      </extLst>
    </bk>
    <bk>
      <extLst>
        <ext uri="{3e2802c4-a4d2-4d8b-9148-e3be6c30e623}">
          <xlrd:rvb i="1787"/>
        </ext>
      </extLst>
    </bk>
    <bk>
      <extLst>
        <ext uri="{3e2802c4-a4d2-4d8b-9148-e3be6c30e623}">
          <xlrd:rvb i="1788"/>
        </ext>
      </extLst>
    </bk>
    <bk>
      <extLst>
        <ext uri="{3e2802c4-a4d2-4d8b-9148-e3be6c30e623}">
          <xlrd:rvb i="1789"/>
        </ext>
      </extLst>
    </bk>
    <bk>
      <extLst>
        <ext uri="{3e2802c4-a4d2-4d8b-9148-e3be6c30e623}">
          <xlrd:rvb i="1790"/>
        </ext>
      </extLst>
    </bk>
    <bk>
      <extLst>
        <ext uri="{3e2802c4-a4d2-4d8b-9148-e3be6c30e623}">
          <xlrd:rvb i="1791"/>
        </ext>
      </extLst>
    </bk>
    <bk>
      <extLst>
        <ext uri="{3e2802c4-a4d2-4d8b-9148-e3be6c30e623}">
          <xlrd:rvb i="1792"/>
        </ext>
      </extLst>
    </bk>
    <bk>
      <extLst>
        <ext uri="{3e2802c4-a4d2-4d8b-9148-e3be6c30e623}">
          <xlrd:rvb i="1793"/>
        </ext>
      </extLst>
    </bk>
    <bk>
      <extLst>
        <ext uri="{3e2802c4-a4d2-4d8b-9148-e3be6c30e623}">
          <xlrd:rvb i="1794"/>
        </ext>
      </extLst>
    </bk>
    <bk>
      <extLst>
        <ext uri="{3e2802c4-a4d2-4d8b-9148-e3be6c30e623}">
          <xlrd:rvb i="1795"/>
        </ext>
      </extLst>
    </bk>
    <bk>
      <extLst>
        <ext uri="{3e2802c4-a4d2-4d8b-9148-e3be6c30e623}">
          <xlrd:rvb i="1796"/>
        </ext>
      </extLst>
    </bk>
    <bk>
      <extLst>
        <ext uri="{3e2802c4-a4d2-4d8b-9148-e3be6c30e623}">
          <xlrd:rvb i="1797"/>
        </ext>
      </extLst>
    </bk>
    <bk>
      <extLst>
        <ext uri="{3e2802c4-a4d2-4d8b-9148-e3be6c30e623}">
          <xlrd:rvb i="1798"/>
        </ext>
      </extLst>
    </bk>
    <bk>
      <extLst>
        <ext uri="{3e2802c4-a4d2-4d8b-9148-e3be6c30e623}">
          <xlrd:rvb i="1799"/>
        </ext>
      </extLst>
    </bk>
    <bk>
      <extLst>
        <ext uri="{3e2802c4-a4d2-4d8b-9148-e3be6c30e623}">
          <xlrd:rvb i="1800"/>
        </ext>
      </extLst>
    </bk>
    <bk>
      <extLst>
        <ext uri="{3e2802c4-a4d2-4d8b-9148-e3be6c30e623}">
          <xlrd:rvb i="1801"/>
        </ext>
      </extLst>
    </bk>
    <bk>
      <extLst>
        <ext uri="{3e2802c4-a4d2-4d8b-9148-e3be6c30e623}">
          <xlrd:rvb i="1802"/>
        </ext>
      </extLst>
    </bk>
    <bk>
      <extLst>
        <ext uri="{3e2802c4-a4d2-4d8b-9148-e3be6c30e623}">
          <xlrd:rvb i="1803"/>
        </ext>
      </extLst>
    </bk>
    <bk>
      <extLst>
        <ext uri="{3e2802c4-a4d2-4d8b-9148-e3be6c30e623}">
          <xlrd:rvb i="1804"/>
        </ext>
      </extLst>
    </bk>
    <bk>
      <extLst>
        <ext uri="{3e2802c4-a4d2-4d8b-9148-e3be6c30e623}">
          <xlrd:rvb i="1805"/>
        </ext>
      </extLst>
    </bk>
    <bk>
      <extLst>
        <ext uri="{3e2802c4-a4d2-4d8b-9148-e3be6c30e623}">
          <xlrd:rvb i="1806"/>
        </ext>
      </extLst>
    </bk>
    <bk>
      <extLst>
        <ext uri="{3e2802c4-a4d2-4d8b-9148-e3be6c30e623}">
          <xlrd:rvb i="1807"/>
        </ext>
      </extLst>
    </bk>
    <bk>
      <extLst>
        <ext uri="{3e2802c4-a4d2-4d8b-9148-e3be6c30e623}">
          <xlrd:rvb i="1808"/>
        </ext>
      </extLst>
    </bk>
    <bk>
      <extLst>
        <ext uri="{3e2802c4-a4d2-4d8b-9148-e3be6c30e623}">
          <xlrd:rvb i="1809"/>
        </ext>
      </extLst>
    </bk>
    <bk>
      <extLst>
        <ext uri="{3e2802c4-a4d2-4d8b-9148-e3be6c30e623}">
          <xlrd:rvb i="1810"/>
        </ext>
      </extLst>
    </bk>
    <bk>
      <extLst>
        <ext uri="{3e2802c4-a4d2-4d8b-9148-e3be6c30e623}">
          <xlrd:rvb i="1811"/>
        </ext>
      </extLst>
    </bk>
    <bk>
      <extLst>
        <ext uri="{3e2802c4-a4d2-4d8b-9148-e3be6c30e623}">
          <xlrd:rvb i="1812"/>
        </ext>
      </extLst>
    </bk>
    <bk>
      <extLst>
        <ext uri="{3e2802c4-a4d2-4d8b-9148-e3be6c30e623}">
          <xlrd:rvb i="1813"/>
        </ext>
      </extLst>
    </bk>
    <bk>
      <extLst>
        <ext uri="{3e2802c4-a4d2-4d8b-9148-e3be6c30e623}">
          <xlrd:rvb i="1814"/>
        </ext>
      </extLst>
    </bk>
    <bk>
      <extLst>
        <ext uri="{3e2802c4-a4d2-4d8b-9148-e3be6c30e623}">
          <xlrd:rvb i="1815"/>
        </ext>
      </extLst>
    </bk>
    <bk>
      <extLst>
        <ext uri="{3e2802c4-a4d2-4d8b-9148-e3be6c30e623}">
          <xlrd:rvb i="1816"/>
        </ext>
      </extLst>
    </bk>
    <bk>
      <extLst>
        <ext uri="{3e2802c4-a4d2-4d8b-9148-e3be6c30e623}">
          <xlrd:rvb i="1817"/>
        </ext>
      </extLst>
    </bk>
    <bk>
      <extLst>
        <ext uri="{3e2802c4-a4d2-4d8b-9148-e3be6c30e623}">
          <xlrd:rvb i="1818"/>
        </ext>
      </extLst>
    </bk>
    <bk>
      <extLst>
        <ext uri="{3e2802c4-a4d2-4d8b-9148-e3be6c30e623}">
          <xlrd:rvb i="1819"/>
        </ext>
      </extLst>
    </bk>
    <bk>
      <extLst>
        <ext uri="{3e2802c4-a4d2-4d8b-9148-e3be6c30e623}">
          <xlrd:rvb i="1820"/>
        </ext>
      </extLst>
    </bk>
    <bk>
      <extLst>
        <ext uri="{3e2802c4-a4d2-4d8b-9148-e3be6c30e623}">
          <xlrd:rvb i="1821"/>
        </ext>
      </extLst>
    </bk>
    <bk>
      <extLst>
        <ext uri="{3e2802c4-a4d2-4d8b-9148-e3be6c30e623}">
          <xlrd:rvb i="1822"/>
        </ext>
      </extLst>
    </bk>
    <bk>
      <extLst>
        <ext uri="{3e2802c4-a4d2-4d8b-9148-e3be6c30e623}">
          <xlrd:rvb i="1823"/>
        </ext>
      </extLst>
    </bk>
    <bk>
      <extLst>
        <ext uri="{3e2802c4-a4d2-4d8b-9148-e3be6c30e623}">
          <xlrd:rvb i="1824"/>
        </ext>
      </extLst>
    </bk>
    <bk>
      <extLst>
        <ext uri="{3e2802c4-a4d2-4d8b-9148-e3be6c30e623}">
          <xlrd:rvb i="1825"/>
        </ext>
      </extLst>
    </bk>
    <bk>
      <extLst>
        <ext uri="{3e2802c4-a4d2-4d8b-9148-e3be6c30e623}">
          <xlrd:rvb i="1826"/>
        </ext>
      </extLst>
    </bk>
    <bk>
      <extLst>
        <ext uri="{3e2802c4-a4d2-4d8b-9148-e3be6c30e623}">
          <xlrd:rvb i="1827"/>
        </ext>
      </extLst>
    </bk>
    <bk>
      <extLst>
        <ext uri="{3e2802c4-a4d2-4d8b-9148-e3be6c30e623}">
          <xlrd:rvb i="1828"/>
        </ext>
      </extLst>
    </bk>
    <bk>
      <extLst>
        <ext uri="{3e2802c4-a4d2-4d8b-9148-e3be6c30e623}">
          <xlrd:rvb i="1829"/>
        </ext>
      </extLst>
    </bk>
    <bk>
      <extLst>
        <ext uri="{3e2802c4-a4d2-4d8b-9148-e3be6c30e623}">
          <xlrd:rvb i="1830"/>
        </ext>
      </extLst>
    </bk>
    <bk>
      <extLst>
        <ext uri="{3e2802c4-a4d2-4d8b-9148-e3be6c30e623}">
          <xlrd:rvb i="1831"/>
        </ext>
      </extLst>
    </bk>
    <bk>
      <extLst>
        <ext uri="{3e2802c4-a4d2-4d8b-9148-e3be6c30e623}">
          <xlrd:rvb i="1832"/>
        </ext>
      </extLst>
    </bk>
    <bk>
      <extLst>
        <ext uri="{3e2802c4-a4d2-4d8b-9148-e3be6c30e623}">
          <xlrd:rvb i="1833"/>
        </ext>
      </extLst>
    </bk>
    <bk>
      <extLst>
        <ext uri="{3e2802c4-a4d2-4d8b-9148-e3be6c30e623}">
          <xlrd:rvb i="1834"/>
        </ext>
      </extLst>
    </bk>
    <bk>
      <extLst>
        <ext uri="{3e2802c4-a4d2-4d8b-9148-e3be6c30e623}">
          <xlrd:rvb i="1835"/>
        </ext>
      </extLst>
    </bk>
    <bk>
      <extLst>
        <ext uri="{3e2802c4-a4d2-4d8b-9148-e3be6c30e623}">
          <xlrd:rvb i="1836"/>
        </ext>
      </extLst>
    </bk>
    <bk>
      <extLst>
        <ext uri="{3e2802c4-a4d2-4d8b-9148-e3be6c30e623}">
          <xlrd:rvb i="1837"/>
        </ext>
      </extLst>
    </bk>
    <bk>
      <extLst>
        <ext uri="{3e2802c4-a4d2-4d8b-9148-e3be6c30e623}">
          <xlrd:rvb i="1838"/>
        </ext>
      </extLst>
    </bk>
    <bk>
      <extLst>
        <ext uri="{3e2802c4-a4d2-4d8b-9148-e3be6c30e623}">
          <xlrd:rvb i="1839"/>
        </ext>
      </extLst>
    </bk>
    <bk>
      <extLst>
        <ext uri="{3e2802c4-a4d2-4d8b-9148-e3be6c30e623}">
          <xlrd:rvb i="1840"/>
        </ext>
      </extLst>
    </bk>
    <bk>
      <extLst>
        <ext uri="{3e2802c4-a4d2-4d8b-9148-e3be6c30e623}">
          <xlrd:rvb i="1841"/>
        </ext>
      </extLst>
    </bk>
    <bk>
      <extLst>
        <ext uri="{3e2802c4-a4d2-4d8b-9148-e3be6c30e623}">
          <xlrd:rvb i="1842"/>
        </ext>
      </extLst>
    </bk>
    <bk>
      <extLst>
        <ext uri="{3e2802c4-a4d2-4d8b-9148-e3be6c30e623}">
          <xlrd:rvb i="1843"/>
        </ext>
      </extLst>
    </bk>
    <bk>
      <extLst>
        <ext uri="{3e2802c4-a4d2-4d8b-9148-e3be6c30e623}">
          <xlrd:rvb i="1844"/>
        </ext>
      </extLst>
    </bk>
    <bk>
      <extLst>
        <ext uri="{3e2802c4-a4d2-4d8b-9148-e3be6c30e623}">
          <xlrd:rvb i="1845"/>
        </ext>
      </extLst>
    </bk>
    <bk>
      <extLst>
        <ext uri="{3e2802c4-a4d2-4d8b-9148-e3be6c30e623}">
          <xlrd:rvb i="1846"/>
        </ext>
      </extLst>
    </bk>
    <bk>
      <extLst>
        <ext uri="{3e2802c4-a4d2-4d8b-9148-e3be6c30e623}">
          <xlrd:rvb i="1847"/>
        </ext>
      </extLst>
    </bk>
    <bk>
      <extLst>
        <ext uri="{3e2802c4-a4d2-4d8b-9148-e3be6c30e623}">
          <xlrd:rvb i="1848"/>
        </ext>
      </extLst>
    </bk>
    <bk>
      <extLst>
        <ext uri="{3e2802c4-a4d2-4d8b-9148-e3be6c30e623}">
          <xlrd:rvb i="1849"/>
        </ext>
      </extLst>
    </bk>
    <bk>
      <extLst>
        <ext uri="{3e2802c4-a4d2-4d8b-9148-e3be6c30e623}">
          <xlrd:rvb i="1850"/>
        </ext>
      </extLst>
    </bk>
    <bk>
      <extLst>
        <ext uri="{3e2802c4-a4d2-4d8b-9148-e3be6c30e623}">
          <xlrd:rvb i="1851"/>
        </ext>
      </extLst>
    </bk>
    <bk>
      <extLst>
        <ext uri="{3e2802c4-a4d2-4d8b-9148-e3be6c30e623}">
          <xlrd:rvb i="1852"/>
        </ext>
      </extLst>
    </bk>
    <bk>
      <extLst>
        <ext uri="{3e2802c4-a4d2-4d8b-9148-e3be6c30e623}">
          <xlrd:rvb i="1853"/>
        </ext>
      </extLst>
    </bk>
    <bk>
      <extLst>
        <ext uri="{3e2802c4-a4d2-4d8b-9148-e3be6c30e623}">
          <xlrd:rvb i="1854"/>
        </ext>
      </extLst>
    </bk>
    <bk>
      <extLst>
        <ext uri="{3e2802c4-a4d2-4d8b-9148-e3be6c30e623}">
          <xlrd:rvb i="1855"/>
        </ext>
      </extLst>
    </bk>
    <bk>
      <extLst>
        <ext uri="{3e2802c4-a4d2-4d8b-9148-e3be6c30e623}">
          <xlrd:rvb i="1856"/>
        </ext>
      </extLst>
    </bk>
    <bk>
      <extLst>
        <ext uri="{3e2802c4-a4d2-4d8b-9148-e3be6c30e623}">
          <xlrd:rvb i="1857"/>
        </ext>
      </extLst>
    </bk>
    <bk>
      <extLst>
        <ext uri="{3e2802c4-a4d2-4d8b-9148-e3be6c30e623}">
          <xlrd:rvb i="1858"/>
        </ext>
      </extLst>
    </bk>
    <bk>
      <extLst>
        <ext uri="{3e2802c4-a4d2-4d8b-9148-e3be6c30e623}">
          <xlrd:rvb i="1859"/>
        </ext>
      </extLst>
    </bk>
    <bk>
      <extLst>
        <ext uri="{3e2802c4-a4d2-4d8b-9148-e3be6c30e623}">
          <xlrd:rvb i="1860"/>
        </ext>
      </extLst>
    </bk>
    <bk>
      <extLst>
        <ext uri="{3e2802c4-a4d2-4d8b-9148-e3be6c30e623}">
          <xlrd:rvb i="1861"/>
        </ext>
      </extLst>
    </bk>
    <bk>
      <extLst>
        <ext uri="{3e2802c4-a4d2-4d8b-9148-e3be6c30e623}">
          <xlrd:rvb i="1862"/>
        </ext>
      </extLst>
    </bk>
    <bk>
      <extLst>
        <ext uri="{3e2802c4-a4d2-4d8b-9148-e3be6c30e623}">
          <xlrd:rvb i="1863"/>
        </ext>
      </extLst>
    </bk>
    <bk>
      <extLst>
        <ext uri="{3e2802c4-a4d2-4d8b-9148-e3be6c30e623}">
          <xlrd:rvb i="1864"/>
        </ext>
      </extLst>
    </bk>
    <bk>
      <extLst>
        <ext uri="{3e2802c4-a4d2-4d8b-9148-e3be6c30e623}">
          <xlrd:rvb i="1865"/>
        </ext>
      </extLst>
    </bk>
    <bk>
      <extLst>
        <ext uri="{3e2802c4-a4d2-4d8b-9148-e3be6c30e623}">
          <xlrd:rvb i="1866"/>
        </ext>
      </extLst>
    </bk>
    <bk>
      <extLst>
        <ext uri="{3e2802c4-a4d2-4d8b-9148-e3be6c30e623}">
          <xlrd:rvb i="1867"/>
        </ext>
      </extLst>
    </bk>
    <bk>
      <extLst>
        <ext uri="{3e2802c4-a4d2-4d8b-9148-e3be6c30e623}">
          <xlrd:rvb i="1868"/>
        </ext>
      </extLst>
    </bk>
    <bk>
      <extLst>
        <ext uri="{3e2802c4-a4d2-4d8b-9148-e3be6c30e623}">
          <xlrd:rvb i="1869"/>
        </ext>
      </extLst>
    </bk>
    <bk>
      <extLst>
        <ext uri="{3e2802c4-a4d2-4d8b-9148-e3be6c30e623}">
          <xlrd:rvb i="1870"/>
        </ext>
      </extLst>
    </bk>
    <bk>
      <extLst>
        <ext uri="{3e2802c4-a4d2-4d8b-9148-e3be6c30e623}">
          <xlrd:rvb i="1871"/>
        </ext>
      </extLst>
    </bk>
    <bk>
      <extLst>
        <ext uri="{3e2802c4-a4d2-4d8b-9148-e3be6c30e623}">
          <xlrd:rvb i="1872"/>
        </ext>
      </extLst>
    </bk>
    <bk>
      <extLst>
        <ext uri="{3e2802c4-a4d2-4d8b-9148-e3be6c30e623}">
          <xlrd:rvb i="1873"/>
        </ext>
      </extLst>
    </bk>
    <bk>
      <extLst>
        <ext uri="{3e2802c4-a4d2-4d8b-9148-e3be6c30e623}">
          <xlrd:rvb i="1874"/>
        </ext>
      </extLst>
    </bk>
    <bk>
      <extLst>
        <ext uri="{3e2802c4-a4d2-4d8b-9148-e3be6c30e623}">
          <xlrd:rvb i="1875"/>
        </ext>
      </extLst>
    </bk>
    <bk>
      <extLst>
        <ext uri="{3e2802c4-a4d2-4d8b-9148-e3be6c30e623}">
          <xlrd:rvb i="1876"/>
        </ext>
      </extLst>
    </bk>
    <bk>
      <extLst>
        <ext uri="{3e2802c4-a4d2-4d8b-9148-e3be6c30e623}">
          <xlrd:rvb i="1877"/>
        </ext>
      </extLst>
    </bk>
    <bk>
      <extLst>
        <ext uri="{3e2802c4-a4d2-4d8b-9148-e3be6c30e623}">
          <xlrd:rvb i="1878"/>
        </ext>
      </extLst>
    </bk>
    <bk>
      <extLst>
        <ext uri="{3e2802c4-a4d2-4d8b-9148-e3be6c30e623}">
          <xlrd:rvb i="1879"/>
        </ext>
      </extLst>
    </bk>
    <bk>
      <extLst>
        <ext uri="{3e2802c4-a4d2-4d8b-9148-e3be6c30e623}">
          <xlrd:rvb i="1880"/>
        </ext>
      </extLst>
    </bk>
    <bk>
      <extLst>
        <ext uri="{3e2802c4-a4d2-4d8b-9148-e3be6c30e623}">
          <xlrd:rvb i="1881"/>
        </ext>
      </extLst>
    </bk>
    <bk>
      <extLst>
        <ext uri="{3e2802c4-a4d2-4d8b-9148-e3be6c30e623}">
          <xlrd:rvb i="1882"/>
        </ext>
      </extLst>
    </bk>
    <bk>
      <extLst>
        <ext uri="{3e2802c4-a4d2-4d8b-9148-e3be6c30e623}">
          <xlrd:rvb i="1883"/>
        </ext>
      </extLst>
    </bk>
    <bk>
      <extLst>
        <ext uri="{3e2802c4-a4d2-4d8b-9148-e3be6c30e623}">
          <xlrd:rvb i="1884"/>
        </ext>
      </extLst>
    </bk>
    <bk>
      <extLst>
        <ext uri="{3e2802c4-a4d2-4d8b-9148-e3be6c30e623}">
          <xlrd:rvb i="1885"/>
        </ext>
      </extLst>
    </bk>
    <bk>
      <extLst>
        <ext uri="{3e2802c4-a4d2-4d8b-9148-e3be6c30e623}">
          <xlrd:rvb i="1886"/>
        </ext>
      </extLst>
    </bk>
    <bk>
      <extLst>
        <ext uri="{3e2802c4-a4d2-4d8b-9148-e3be6c30e623}">
          <xlrd:rvb i="1887"/>
        </ext>
      </extLst>
    </bk>
    <bk>
      <extLst>
        <ext uri="{3e2802c4-a4d2-4d8b-9148-e3be6c30e623}">
          <xlrd:rvb i="1888"/>
        </ext>
      </extLst>
    </bk>
    <bk>
      <extLst>
        <ext uri="{3e2802c4-a4d2-4d8b-9148-e3be6c30e623}">
          <xlrd:rvb i="1889"/>
        </ext>
      </extLst>
    </bk>
    <bk>
      <extLst>
        <ext uri="{3e2802c4-a4d2-4d8b-9148-e3be6c30e623}">
          <xlrd:rvb i="1890"/>
        </ext>
      </extLst>
    </bk>
    <bk>
      <extLst>
        <ext uri="{3e2802c4-a4d2-4d8b-9148-e3be6c30e623}">
          <xlrd:rvb i="1891"/>
        </ext>
      </extLst>
    </bk>
    <bk>
      <extLst>
        <ext uri="{3e2802c4-a4d2-4d8b-9148-e3be6c30e623}">
          <xlrd:rvb i="1892"/>
        </ext>
      </extLst>
    </bk>
    <bk>
      <extLst>
        <ext uri="{3e2802c4-a4d2-4d8b-9148-e3be6c30e623}">
          <xlrd:rvb i="1893"/>
        </ext>
      </extLst>
    </bk>
    <bk>
      <extLst>
        <ext uri="{3e2802c4-a4d2-4d8b-9148-e3be6c30e623}">
          <xlrd:rvb i="1894"/>
        </ext>
      </extLst>
    </bk>
    <bk>
      <extLst>
        <ext uri="{3e2802c4-a4d2-4d8b-9148-e3be6c30e623}">
          <xlrd:rvb i="1895"/>
        </ext>
      </extLst>
    </bk>
    <bk>
      <extLst>
        <ext uri="{3e2802c4-a4d2-4d8b-9148-e3be6c30e623}">
          <xlrd:rvb i="1896"/>
        </ext>
      </extLst>
    </bk>
    <bk>
      <extLst>
        <ext uri="{3e2802c4-a4d2-4d8b-9148-e3be6c30e623}">
          <xlrd:rvb i="1897"/>
        </ext>
      </extLst>
    </bk>
    <bk>
      <extLst>
        <ext uri="{3e2802c4-a4d2-4d8b-9148-e3be6c30e623}">
          <xlrd:rvb i="1898"/>
        </ext>
      </extLst>
    </bk>
    <bk>
      <extLst>
        <ext uri="{3e2802c4-a4d2-4d8b-9148-e3be6c30e623}">
          <xlrd:rvb i="1899"/>
        </ext>
      </extLst>
    </bk>
    <bk>
      <extLst>
        <ext uri="{3e2802c4-a4d2-4d8b-9148-e3be6c30e623}">
          <xlrd:rvb i="1900"/>
        </ext>
      </extLst>
    </bk>
    <bk>
      <extLst>
        <ext uri="{3e2802c4-a4d2-4d8b-9148-e3be6c30e623}">
          <xlrd:rvb i="1901"/>
        </ext>
      </extLst>
    </bk>
    <bk>
      <extLst>
        <ext uri="{3e2802c4-a4d2-4d8b-9148-e3be6c30e623}">
          <xlrd:rvb i="1902"/>
        </ext>
      </extLst>
    </bk>
    <bk>
      <extLst>
        <ext uri="{3e2802c4-a4d2-4d8b-9148-e3be6c30e623}">
          <xlrd:rvb i="1903"/>
        </ext>
      </extLst>
    </bk>
    <bk>
      <extLst>
        <ext uri="{3e2802c4-a4d2-4d8b-9148-e3be6c30e623}">
          <xlrd:rvb i="1904"/>
        </ext>
      </extLst>
    </bk>
    <bk>
      <extLst>
        <ext uri="{3e2802c4-a4d2-4d8b-9148-e3be6c30e623}">
          <xlrd:rvb i="1905"/>
        </ext>
      </extLst>
    </bk>
    <bk>
      <extLst>
        <ext uri="{3e2802c4-a4d2-4d8b-9148-e3be6c30e623}">
          <xlrd:rvb i="1906"/>
        </ext>
      </extLst>
    </bk>
    <bk>
      <extLst>
        <ext uri="{3e2802c4-a4d2-4d8b-9148-e3be6c30e623}">
          <xlrd:rvb i="1907"/>
        </ext>
      </extLst>
    </bk>
    <bk>
      <extLst>
        <ext uri="{3e2802c4-a4d2-4d8b-9148-e3be6c30e623}">
          <xlrd:rvb i="1908"/>
        </ext>
      </extLst>
    </bk>
    <bk>
      <extLst>
        <ext uri="{3e2802c4-a4d2-4d8b-9148-e3be6c30e623}">
          <xlrd:rvb i="1909"/>
        </ext>
      </extLst>
    </bk>
    <bk>
      <extLst>
        <ext uri="{3e2802c4-a4d2-4d8b-9148-e3be6c30e623}">
          <xlrd:rvb i="1910"/>
        </ext>
      </extLst>
    </bk>
    <bk>
      <extLst>
        <ext uri="{3e2802c4-a4d2-4d8b-9148-e3be6c30e623}">
          <xlrd:rvb i="1911"/>
        </ext>
      </extLst>
    </bk>
    <bk>
      <extLst>
        <ext uri="{3e2802c4-a4d2-4d8b-9148-e3be6c30e623}">
          <xlrd:rvb i="1912"/>
        </ext>
      </extLst>
    </bk>
    <bk>
      <extLst>
        <ext uri="{3e2802c4-a4d2-4d8b-9148-e3be6c30e623}">
          <xlrd:rvb i="1913"/>
        </ext>
      </extLst>
    </bk>
    <bk>
      <extLst>
        <ext uri="{3e2802c4-a4d2-4d8b-9148-e3be6c30e623}">
          <xlrd:rvb i="1914"/>
        </ext>
      </extLst>
    </bk>
    <bk>
      <extLst>
        <ext uri="{3e2802c4-a4d2-4d8b-9148-e3be6c30e623}">
          <xlrd:rvb i="1915"/>
        </ext>
      </extLst>
    </bk>
    <bk>
      <extLst>
        <ext uri="{3e2802c4-a4d2-4d8b-9148-e3be6c30e623}">
          <xlrd:rvb i="1916"/>
        </ext>
      </extLst>
    </bk>
    <bk>
      <extLst>
        <ext uri="{3e2802c4-a4d2-4d8b-9148-e3be6c30e623}">
          <xlrd:rvb i="1917"/>
        </ext>
      </extLst>
    </bk>
    <bk>
      <extLst>
        <ext uri="{3e2802c4-a4d2-4d8b-9148-e3be6c30e623}">
          <xlrd:rvb i="1918"/>
        </ext>
      </extLst>
    </bk>
    <bk>
      <extLst>
        <ext uri="{3e2802c4-a4d2-4d8b-9148-e3be6c30e623}">
          <xlrd:rvb i="1919"/>
        </ext>
      </extLst>
    </bk>
    <bk>
      <extLst>
        <ext uri="{3e2802c4-a4d2-4d8b-9148-e3be6c30e623}">
          <xlrd:rvb i="1920"/>
        </ext>
      </extLst>
    </bk>
    <bk>
      <extLst>
        <ext uri="{3e2802c4-a4d2-4d8b-9148-e3be6c30e623}">
          <xlrd:rvb i="1921"/>
        </ext>
      </extLst>
    </bk>
    <bk>
      <extLst>
        <ext uri="{3e2802c4-a4d2-4d8b-9148-e3be6c30e623}">
          <xlrd:rvb i="1922"/>
        </ext>
      </extLst>
    </bk>
    <bk>
      <extLst>
        <ext uri="{3e2802c4-a4d2-4d8b-9148-e3be6c30e623}">
          <xlrd:rvb i="1923"/>
        </ext>
      </extLst>
    </bk>
    <bk>
      <extLst>
        <ext uri="{3e2802c4-a4d2-4d8b-9148-e3be6c30e623}">
          <xlrd:rvb i="1924"/>
        </ext>
      </extLst>
    </bk>
    <bk>
      <extLst>
        <ext uri="{3e2802c4-a4d2-4d8b-9148-e3be6c30e623}">
          <xlrd:rvb i="1925"/>
        </ext>
      </extLst>
    </bk>
    <bk>
      <extLst>
        <ext uri="{3e2802c4-a4d2-4d8b-9148-e3be6c30e623}">
          <xlrd:rvb i="1926"/>
        </ext>
      </extLst>
    </bk>
    <bk>
      <extLst>
        <ext uri="{3e2802c4-a4d2-4d8b-9148-e3be6c30e623}">
          <xlrd:rvb i="1927"/>
        </ext>
      </extLst>
    </bk>
    <bk>
      <extLst>
        <ext uri="{3e2802c4-a4d2-4d8b-9148-e3be6c30e623}">
          <xlrd:rvb i="1928"/>
        </ext>
      </extLst>
    </bk>
    <bk>
      <extLst>
        <ext uri="{3e2802c4-a4d2-4d8b-9148-e3be6c30e623}">
          <xlrd:rvb i="1929"/>
        </ext>
      </extLst>
    </bk>
    <bk>
      <extLst>
        <ext uri="{3e2802c4-a4d2-4d8b-9148-e3be6c30e623}">
          <xlrd:rvb i="1930"/>
        </ext>
      </extLst>
    </bk>
    <bk>
      <extLst>
        <ext uri="{3e2802c4-a4d2-4d8b-9148-e3be6c30e623}">
          <xlrd:rvb i="1931"/>
        </ext>
      </extLst>
    </bk>
    <bk>
      <extLst>
        <ext uri="{3e2802c4-a4d2-4d8b-9148-e3be6c30e623}">
          <xlrd:rvb i="1932"/>
        </ext>
      </extLst>
    </bk>
    <bk>
      <extLst>
        <ext uri="{3e2802c4-a4d2-4d8b-9148-e3be6c30e623}">
          <xlrd:rvb i="1933"/>
        </ext>
      </extLst>
    </bk>
    <bk>
      <extLst>
        <ext uri="{3e2802c4-a4d2-4d8b-9148-e3be6c30e623}">
          <xlrd:rvb i="1934"/>
        </ext>
      </extLst>
    </bk>
    <bk>
      <extLst>
        <ext uri="{3e2802c4-a4d2-4d8b-9148-e3be6c30e623}">
          <xlrd:rvb i="1935"/>
        </ext>
      </extLst>
    </bk>
    <bk>
      <extLst>
        <ext uri="{3e2802c4-a4d2-4d8b-9148-e3be6c30e623}">
          <xlrd:rvb i="1936"/>
        </ext>
      </extLst>
    </bk>
    <bk>
      <extLst>
        <ext uri="{3e2802c4-a4d2-4d8b-9148-e3be6c30e623}">
          <xlrd:rvb i="1937"/>
        </ext>
      </extLst>
    </bk>
    <bk>
      <extLst>
        <ext uri="{3e2802c4-a4d2-4d8b-9148-e3be6c30e623}">
          <xlrd:rvb i="1938"/>
        </ext>
      </extLst>
    </bk>
    <bk>
      <extLst>
        <ext uri="{3e2802c4-a4d2-4d8b-9148-e3be6c30e623}">
          <xlrd:rvb i="1941"/>
        </ext>
      </extLst>
    </bk>
  </futureMetadata>
  <cellMetadata count="1">
    <bk>
      <rc t="1" v="0"/>
    </bk>
  </cellMetadata>
  <valueMetadata count="1925">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bk>
      <rc t="2" v="99"/>
    </bk>
    <bk>
      <rc t="2" v="100"/>
    </bk>
    <bk>
      <rc t="2" v="101"/>
    </bk>
    <bk>
      <rc t="2" v="102"/>
    </bk>
    <bk>
      <rc t="2" v="103"/>
    </bk>
    <bk>
      <rc t="2" v="104"/>
    </bk>
    <bk>
      <rc t="2" v="105"/>
    </bk>
    <bk>
      <rc t="2" v="106"/>
    </bk>
    <bk>
      <rc t="2" v="107"/>
    </bk>
    <bk>
      <rc t="2" v="108"/>
    </bk>
    <bk>
      <rc t="2" v="109"/>
    </bk>
    <bk>
      <rc t="2" v="110"/>
    </bk>
    <bk>
      <rc t="2" v="111"/>
    </bk>
    <bk>
      <rc t="2" v="112"/>
    </bk>
    <bk>
      <rc t="2" v="113"/>
    </bk>
    <bk>
      <rc t="2" v="114"/>
    </bk>
    <bk>
      <rc t="2" v="115"/>
    </bk>
    <bk>
      <rc t="2" v="116"/>
    </bk>
    <bk>
      <rc t="2" v="117"/>
    </bk>
    <bk>
      <rc t="2" v="118"/>
    </bk>
    <bk>
      <rc t="2" v="119"/>
    </bk>
    <bk>
      <rc t="2" v="120"/>
    </bk>
    <bk>
      <rc t="2" v="121"/>
    </bk>
    <bk>
      <rc t="2" v="122"/>
    </bk>
    <bk>
      <rc t="2" v="123"/>
    </bk>
    <bk>
      <rc t="2" v="124"/>
    </bk>
    <bk>
      <rc t="2" v="125"/>
    </bk>
    <bk>
      <rc t="2" v="126"/>
    </bk>
    <bk>
      <rc t="2" v="127"/>
    </bk>
    <bk>
      <rc t="2" v="128"/>
    </bk>
    <bk>
      <rc t="2" v="129"/>
    </bk>
    <bk>
      <rc t="2" v="130"/>
    </bk>
    <bk>
      <rc t="2" v="131"/>
    </bk>
    <bk>
      <rc t="2" v="132"/>
    </bk>
    <bk>
      <rc t="2" v="133"/>
    </bk>
    <bk>
      <rc t="2" v="134"/>
    </bk>
    <bk>
      <rc t="2" v="135"/>
    </bk>
    <bk>
      <rc t="2" v="136"/>
    </bk>
    <bk>
      <rc t="2" v="137"/>
    </bk>
    <bk>
      <rc t="2" v="138"/>
    </bk>
    <bk>
      <rc t="2" v="139"/>
    </bk>
    <bk>
      <rc t="2" v="140"/>
    </bk>
    <bk>
      <rc t="2" v="141"/>
    </bk>
    <bk>
      <rc t="2" v="142"/>
    </bk>
    <bk>
      <rc t="2" v="143"/>
    </bk>
    <bk>
      <rc t="2" v="144"/>
    </bk>
    <bk>
      <rc t="2" v="145"/>
    </bk>
    <bk>
      <rc t="2" v="146"/>
    </bk>
    <bk>
      <rc t="2" v="147"/>
    </bk>
    <bk>
      <rc t="2" v="148"/>
    </bk>
    <bk>
      <rc t="2" v="149"/>
    </bk>
    <bk>
      <rc t="2" v="150"/>
    </bk>
    <bk>
      <rc t="2" v="151"/>
    </bk>
    <bk>
      <rc t="2" v="152"/>
    </bk>
    <bk>
      <rc t="2" v="153"/>
    </bk>
    <bk>
      <rc t="2" v="154"/>
    </bk>
    <bk>
      <rc t="2" v="155"/>
    </bk>
    <bk>
      <rc t="2" v="156"/>
    </bk>
    <bk>
      <rc t="2" v="157"/>
    </bk>
    <bk>
      <rc t="2" v="158"/>
    </bk>
    <bk>
      <rc t="2" v="159"/>
    </bk>
    <bk>
      <rc t="2" v="160"/>
    </bk>
    <bk>
      <rc t="2" v="161"/>
    </bk>
    <bk>
      <rc t="2" v="162"/>
    </bk>
    <bk>
      <rc t="2" v="163"/>
    </bk>
    <bk>
      <rc t="2" v="164"/>
    </bk>
    <bk>
      <rc t="2" v="165"/>
    </bk>
    <bk>
      <rc t="2" v="166"/>
    </bk>
    <bk>
      <rc t="2" v="167"/>
    </bk>
    <bk>
      <rc t="2" v="168"/>
    </bk>
    <bk>
      <rc t="2" v="169"/>
    </bk>
    <bk>
      <rc t="2" v="170"/>
    </bk>
    <bk>
      <rc t="2" v="171"/>
    </bk>
    <bk>
      <rc t="2" v="172"/>
    </bk>
    <bk>
      <rc t="2" v="173"/>
    </bk>
    <bk>
      <rc t="2" v="174"/>
    </bk>
    <bk>
      <rc t="2" v="175"/>
    </bk>
    <bk>
      <rc t="2" v="176"/>
    </bk>
    <bk>
      <rc t="2" v="177"/>
    </bk>
    <bk>
      <rc t="2" v="178"/>
    </bk>
    <bk>
      <rc t="2" v="179"/>
    </bk>
    <bk>
      <rc t="2" v="180"/>
    </bk>
    <bk>
      <rc t="2" v="181"/>
    </bk>
    <bk>
      <rc t="2" v="182"/>
    </bk>
    <bk>
      <rc t="2" v="183"/>
    </bk>
    <bk>
      <rc t="2" v="184"/>
    </bk>
    <bk>
      <rc t="2" v="185"/>
    </bk>
    <bk>
      <rc t="2" v="186"/>
    </bk>
    <bk>
      <rc t="2" v="187"/>
    </bk>
    <bk>
      <rc t="2" v="188"/>
    </bk>
    <bk>
      <rc t="2" v="189"/>
    </bk>
    <bk>
      <rc t="2" v="190"/>
    </bk>
    <bk>
      <rc t="2" v="191"/>
    </bk>
    <bk>
      <rc t="2" v="192"/>
    </bk>
    <bk>
      <rc t="2" v="193"/>
    </bk>
    <bk>
      <rc t="2" v="194"/>
    </bk>
    <bk>
      <rc t="2" v="195"/>
    </bk>
    <bk>
      <rc t="2" v="196"/>
    </bk>
    <bk>
      <rc t="2" v="197"/>
    </bk>
    <bk>
      <rc t="2" v="198"/>
    </bk>
    <bk>
      <rc t="2" v="199"/>
    </bk>
    <bk>
      <rc t="2" v="200"/>
    </bk>
    <bk>
      <rc t="2" v="201"/>
    </bk>
    <bk>
      <rc t="2" v="202"/>
    </bk>
    <bk>
      <rc t="2" v="203"/>
    </bk>
    <bk>
      <rc t="2" v="204"/>
    </bk>
    <bk>
      <rc t="2" v="205"/>
    </bk>
    <bk>
      <rc t="2" v="206"/>
    </bk>
    <bk>
      <rc t="2" v="207"/>
    </bk>
    <bk>
      <rc t="2" v="208"/>
    </bk>
    <bk>
      <rc t="2" v="209"/>
    </bk>
    <bk>
      <rc t="2" v="210"/>
    </bk>
    <bk>
      <rc t="2" v="211"/>
    </bk>
    <bk>
      <rc t="2" v="212"/>
    </bk>
    <bk>
      <rc t="2" v="213"/>
    </bk>
    <bk>
      <rc t="2" v="214"/>
    </bk>
    <bk>
      <rc t="2" v="215"/>
    </bk>
    <bk>
      <rc t="2" v="216"/>
    </bk>
    <bk>
      <rc t="2" v="217"/>
    </bk>
    <bk>
      <rc t="2" v="218"/>
    </bk>
    <bk>
      <rc t="2" v="219"/>
    </bk>
    <bk>
      <rc t="2" v="220"/>
    </bk>
    <bk>
      <rc t="2" v="221"/>
    </bk>
    <bk>
      <rc t="2" v="222"/>
    </bk>
    <bk>
      <rc t="2" v="223"/>
    </bk>
    <bk>
      <rc t="2" v="224"/>
    </bk>
    <bk>
      <rc t="2" v="225"/>
    </bk>
    <bk>
      <rc t="2" v="226"/>
    </bk>
    <bk>
      <rc t="2" v="227"/>
    </bk>
    <bk>
      <rc t="2" v="228"/>
    </bk>
    <bk>
      <rc t="2" v="229"/>
    </bk>
    <bk>
      <rc t="2" v="230"/>
    </bk>
    <bk>
      <rc t="2" v="231"/>
    </bk>
    <bk>
      <rc t="2" v="232"/>
    </bk>
    <bk>
      <rc t="2" v="233"/>
    </bk>
    <bk>
      <rc t="2" v="234"/>
    </bk>
    <bk>
      <rc t="2" v="235"/>
    </bk>
    <bk>
      <rc t="2" v="236"/>
    </bk>
    <bk>
      <rc t="2" v="237"/>
    </bk>
    <bk>
      <rc t="2" v="238"/>
    </bk>
    <bk>
      <rc t="2" v="239"/>
    </bk>
    <bk>
      <rc t="2" v="240"/>
    </bk>
    <bk>
      <rc t="2" v="241"/>
    </bk>
    <bk>
      <rc t="2" v="242"/>
    </bk>
    <bk>
      <rc t="2" v="243"/>
    </bk>
    <bk>
      <rc t="2" v="244"/>
    </bk>
    <bk>
      <rc t="2" v="245"/>
    </bk>
    <bk>
      <rc t="2" v="246"/>
    </bk>
    <bk>
      <rc t="2" v="247"/>
    </bk>
    <bk>
      <rc t="2" v="248"/>
    </bk>
    <bk>
      <rc t="2" v="249"/>
    </bk>
    <bk>
      <rc t="2" v="250"/>
    </bk>
    <bk>
      <rc t="2" v="251"/>
    </bk>
    <bk>
      <rc t="2" v="252"/>
    </bk>
    <bk>
      <rc t="2" v="253"/>
    </bk>
    <bk>
      <rc t="2" v="254"/>
    </bk>
    <bk>
      <rc t="2" v="255"/>
    </bk>
    <bk>
      <rc t="2" v="256"/>
    </bk>
    <bk>
      <rc t="2" v="257"/>
    </bk>
    <bk>
      <rc t="2" v="258"/>
    </bk>
    <bk>
      <rc t="2" v="259"/>
    </bk>
    <bk>
      <rc t="2" v="260"/>
    </bk>
    <bk>
      <rc t="2" v="261"/>
    </bk>
    <bk>
      <rc t="2" v="262"/>
    </bk>
    <bk>
      <rc t="2" v="263"/>
    </bk>
    <bk>
      <rc t="2" v="264"/>
    </bk>
    <bk>
      <rc t="2" v="265"/>
    </bk>
    <bk>
      <rc t="2" v="266"/>
    </bk>
    <bk>
      <rc t="2" v="267"/>
    </bk>
    <bk>
      <rc t="2" v="268"/>
    </bk>
    <bk>
      <rc t="2" v="269"/>
    </bk>
    <bk>
      <rc t="2" v="270"/>
    </bk>
    <bk>
      <rc t="2" v="271"/>
    </bk>
    <bk>
      <rc t="2" v="272"/>
    </bk>
    <bk>
      <rc t="2" v="273"/>
    </bk>
    <bk>
      <rc t="2" v="274"/>
    </bk>
    <bk>
      <rc t="2" v="275"/>
    </bk>
    <bk>
      <rc t="2" v="276"/>
    </bk>
    <bk>
      <rc t="2" v="277"/>
    </bk>
    <bk>
      <rc t="2" v="278"/>
    </bk>
    <bk>
      <rc t="2" v="279"/>
    </bk>
    <bk>
      <rc t="2" v="280"/>
    </bk>
    <bk>
      <rc t="2" v="281"/>
    </bk>
    <bk>
      <rc t="2" v="282"/>
    </bk>
    <bk>
      <rc t="2" v="283"/>
    </bk>
    <bk>
      <rc t="2" v="284"/>
    </bk>
    <bk>
      <rc t="2" v="285"/>
    </bk>
    <bk>
      <rc t="2" v="286"/>
    </bk>
    <bk>
      <rc t="2" v="287"/>
    </bk>
    <bk>
      <rc t="2" v="288"/>
    </bk>
    <bk>
      <rc t="2" v="289"/>
    </bk>
    <bk>
      <rc t="2" v="290"/>
    </bk>
    <bk>
      <rc t="2" v="291"/>
    </bk>
    <bk>
      <rc t="2" v="292"/>
    </bk>
    <bk>
      <rc t="2" v="293"/>
    </bk>
    <bk>
      <rc t="2" v="294"/>
    </bk>
    <bk>
      <rc t="2" v="295"/>
    </bk>
    <bk>
      <rc t="2" v="296"/>
    </bk>
    <bk>
      <rc t="2" v="297"/>
    </bk>
    <bk>
      <rc t="2" v="298"/>
    </bk>
    <bk>
      <rc t="2" v="299"/>
    </bk>
    <bk>
      <rc t="2" v="300"/>
    </bk>
    <bk>
      <rc t="2" v="301"/>
    </bk>
    <bk>
      <rc t="2" v="302"/>
    </bk>
    <bk>
      <rc t="2" v="303"/>
    </bk>
    <bk>
      <rc t="2" v="304"/>
    </bk>
    <bk>
      <rc t="2" v="305"/>
    </bk>
    <bk>
      <rc t="2" v="306"/>
    </bk>
    <bk>
      <rc t="2" v="307"/>
    </bk>
    <bk>
      <rc t="2" v="308"/>
    </bk>
    <bk>
      <rc t="2" v="309"/>
    </bk>
    <bk>
      <rc t="2" v="310"/>
    </bk>
    <bk>
      <rc t="2" v="311"/>
    </bk>
    <bk>
      <rc t="2" v="312"/>
    </bk>
    <bk>
      <rc t="2" v="313"/>
    </bk>
    <bk>
      <rc t="2" v="314"/>
    </bk>
    <bk>
      <rc t="2" v="315"/>
    </bk>
    <bk>
      <rc t="2" v="316"/>
    </bk>
    <bk>
      <rc t="2" v="317"/>
    </bk>
    <bk>
      <rc t="2" v="318"/>
    </bk>
    <bk>
      <rc t="2" v="319"/>
    </bk>
    <bk>
      <rc t="2" v="320"/>
    </bk>
    <bk>
      <rc t="2" v="321"/>
    </bk>
    <bk>
      <rc t="2" v="322"/>
    </bk>
    <bk>
      <rc t="2" v="323"/>
    </bk>
    <bk>
      <rc t="2" v="324"/>
    </bk>
    <bk>
      <rc t="2" v="325"/>
    </bk>
    <bk>
      <rc t="2" v="326"/>
    </bk>
    <bk>
      <rc t="2" v="327"/>
    </bk>
    <bk>
      <rc t="2" v="328"/>
    </bk>
    <bk>
      <rc t="2" v="329"/>
    </bk>
    <bk>
      <rc t="2" v="330"/>
    </bk>
    <bk>
      <rc t="2" v="331"/>
    </bk>
    <bk>
      <rc t="2" v="332"/>
    </bk>
    <bk>
      <rc t="2" v="333"/>
    </bk>
    <bk>
      <rc t="2" v="334"/>
    </bk>
    <bk>
      <rc t="2" v="335"/>
    </bk>
    <bk>
      <rc t="2" v="336"/>
    </bk>
    <bk>
      <rc t="2" v="337"/>
    </bk>
    <bk>
      <rc t="2" v="338"/>
    </bk>
    <bk>
      <rc t="2" v="339"/>
    </bk>
    <bk>
      <rc t="2" v="340"/>
    </bk>
    <bk>
      <rc t="2" v="341"/>
    </bk>
    <bk>
      <rc t="2" v="342"/>
    </bk>
    <bk>
      <rc t="2" v="343"/>
    </bk>
    <bk>
      <rc t="2" v="344"/>
    </bk>
    <bk>
      <rc t="2" v="345"/>
    </bk>
    <bk>
      <rc t="2" v="346"/>
    </bk>
    <bk>
      <rc t="2" v="347"/>
    </bk>
    <bk>
      <rc t="2" v="348"/>
    </bk>
    <bk>
      <rc t="2" v="349"/>
    </bk>
    <bk>
      <rc t="2" v="350"/>
    </bk>
    <bk>
      <rc t="2" v="351"/>
    </bk>
    <bk>
      <rc t="2" v="352"/>
    </bk>
    <bk>
      <rc t="2" v="353"/>
    </bk>
    <bk>
      <rc t="2" v="354"/>
    </bk>
    <bk>
      <rc t="2" v="355"/>
    </bk>
    <bk>
      <rc t="2" v="356"/>
    </bk>
    <bk>
      <rc t="2" v="357"/>
    </bk>
    <bk>
      <rc t="2" v="358"/>
    </bk>
    <bk>
      <rc t="2" v="359"/>
    </bk>
    <bk>
      <rc t="2" v="360"/>
    </bk>
    <bk>
      <rc t="2" v="361"/>
    </bk>
    <bk>
      <rc t="2" v="362"/>
    </bk>
    <bk>
      <rc t="2" v="363"/>
    </bk>
    <bk>
      <rc t="2" v="364"/>
    </bk>
    <bk>
      <rc t="2" v="365"/>
    </bk>
    <bk>
      <rc t="2" v="366"/>
    </bk>
    <bk>
      <rc t="2" v="367"/>
    </bk>
    <bk>
      <rc t="2" v="368"/>
    </bk>
    <bk>
      <rc t="2" v="369"/>
    </bk>
    <bk>
      <rc t="2" v="370"/>
    </bk>
    <bk>
      <rc t="2" v="371"/>
    </bk>
    <bk>
      <rc t="2" v="372"/>
    </bk>
    <bk>
      <rc t="2" v="373"/>
    </bk>
    <bk>
      <rc t="2" v="374"/>
    </bk>
    <bk>
      <rc t="2" v="375"/>
    </bk>
    <bk>
      <rc t="2" v="376"/>
    </bk>
    <bk>
      <rc t="2" v="377"/>
    </bk>
    <bk>
      <rc t="2" v="378"/>
    </bk>
    <bk>
      <rc t="2" v="379"/>
    </bk>
    <bk>
      <rc t="2" v="380"/>
    </bk>
    <bk>
      <rc t="2" v="381"/>
    </bk>
    <bk>
      <rc t="2" v="382"/>
    </bk>
    <bk>
      <rc t="2" v="383"/>
    </bk>
    <bk>
      <rc t="2" v="384"/>
    </bk>
    <bk>
      <rc t="2" v="385"/>
    </bk>
    <bk>
      <rc t="2" v="386"/>
    </bk>
    <bk>
      <rc t="2" v="387"/>
    </bk>
    <bk>
      <rc t="2" v="388"/>
    </bk>
    <bk>
      <rc t="2" v="389"/>
    </bk>
    <bk>
      <rc t="2" v="390"/>
    </bk>
    <bk>
      <rc t="2" v="391"/>
    </bk>
    <bk>
      <rc t="2" v="392"/>
    </bk>
    <bk>
      <rc t="2" v="393"/>
    </bk>
    <bk>
      <rc t="2" v="394"/>
    </bk>
    <bk>
      <rc t="2" v="395"/>
    </bk>
    <bk>
      <rc t="2" v="396"/>
    </bk>
    <bk>
      <rc t="2" v="397"/>
    </bk>
    <bk>
      <rc t="2" v="398"/>
    </bk>
    <bk>
      <rc t="2" v="399"/>
    </bk>
    <bk>
      <rc t="2" v="400"/>
    </bk>
    <bk>
      <rc t="2" v="401"/>
    </bk>
    <bk>
      <rc t="2" v="402"/>
    </bk>
    <bk>
      <rc t="2" v="403"/>
    </bk>
    <bk>
      <rc t="2" v="404"/>
    </bk>
    <bk>
      <rc t="2" v="405"/>
    </bk>
    <bk>
      <rc t="2" v="406"/>
    </bk>
    <bk>
      <rc t="2" v="407"/>
    </bk>
    <bk>
      <rc t="2" v="408"/>
    </bk>
    <bk>
      <rc t="2" v="409"/>
    </bk>
    <bk>
      <rc t="2" v="410"/>
    </bk>
    <bk>
      <rc t="2" v="411"/>
    </bk>
    <bk>
      <rc t="2" v="412"/>
    </bk>
    <bk>
      <rc t="2" v="413"/>
    </bk>
    <bk>
      <rc t="2" v="414"/>
    </bk>
    <bk>
      <rc t="2" v="415"/>
    </bk>
    <bk>
      <rc t="2" v="416"/>
    </bk>
    <bk>
      <rc t="2" v="417"/>
    </bk>
    <bk>
      <rc t="2" v="418"/>
    </bk>
    <bk>
      <rc t="2" v="419"/>
    </bk>
    <bk>
      <rc t="2" v="420"/>
    </bk>
    <bk>
      <rc t="2" v="421"/>
    </bk>
    <bk>
      <rc t="2" v="422"/>
    </bk>
    <bk>
      <rc t="2" v="423"/>
    </bk>
    <bk>
      <rc t="2" v="424"/>
    </bk>
    <bk>
      <rc t="2" v="425"/>
    </bk>
    <bk>
      <rc t="2" v="426"/>
    </bk>
    <bk>
      <rc t="2" v="427"/>
    </bk>
    <bk>
      <rc t="2" v="428"/>
    </bk>
    <bk>
      <rc t="2" v="429"/>
    </bk>
    <bk>
      <rc t="2" v="430"/>
    </bk>
    <bk>
      <rc t="2" v="431"/>
    </bk>
    <bk>
      <rc t="2" v="432"/>
    </bk>
    <bk>
      <rc t="2" v="433"/>
    </bk>
    <bk>
      <rc t="2" v="434"/>
    </bk>
    <bk>
      <rc t="2" v="435"/>
    </bk>
    <bk>
      <rc t="2" v="436"/>
    </bk>
    <bk>
      <rc t="2" v="437"/>
    </bk>
    <bk>
      <rc t="2" v="438"/>
    </bk>
    <bk>
      <rc t="2" v="439"/>
    </bk>
    <bk>
      <rc t="2" v="440"/>
    </bk>
    <bk>
      <rc t="2" v="441"/>
    </bk>
    <bk>
      <rc t="2" v="442"/>
    </bk>
    <bk>
      <rc t="2" v="443"/>
    </bk>
    <bk>
      <rc t="2" v="444"/>
    </bk>
    <bk>
      <rc t="2" v="445"/>
    </bk>
    <bk>
      <rc t="2" v="446"/>
    </bk>
    <bk>
      <rc t="2" v="447"/>
    </bk>
    <bk>
      <rc t="2" v="448"/>
    </bk>
    <bk>
      <rc t="2" v="449"/>
    </bk>
    <bk>
      <rc t="2" v="450"/>
    </bk>
    <bk>
      <rc t="2" v="451"/>
    </bk>
    <bk>
      <rc t="2" v="452"/>
    </bk>
    <bk>
      <rc t="2" v="453"/>
    </bk>
    <bk>
      <rc t="2" v="454"/>
    </bk>
    <bk>
      <rc t="2" v="455"/>
    </bk>
    <bk>
      <rc t="2" v="456"/>
    </bk>
    <bk>
      <rc t="2" v="457"/>
    </bk>
    <bk>
      <rc t="2" v="458"/>
    </bk>
    <bk>
      <rc t="2" v="459"/>
    </bk>
    <bk>
      <rc t="2" v="460"/>
    </bk>
    <bk>
      <rc t="2" v="461"/>
    </bk>
    <bk>
      <rc t="2" v="462"/>
    </bk>
    <bk>
      <rc t="2" v="463"/>
    </bk>
    <bk>
      <rc t="2" v="464"/>
    </bk>
    <bk>
      <rc t="2" v="465"/>
    </bk>
    <bk>
      <rc t="2" v="466"/>
    </bk>
    <bk>
      <rc t="2" v="467"/>
    </bk>
    <bk>
      <rc t="2" v="468"/>
    </bk>
    <bk>
      <rc t="2" v="469"/>
    </bk>
    <bk>
      <rc t="2" v="470"/>
    </bk>
    <bk>
      <rc t="2" v="471"/>
    </bk>
    <bk>
      <rc t="2" v="472"/>
    </bk>
    <bk>
      <rc t="2" v="473"/>
    </bk>
    <bk>
      <rc t="2" v="474"/>
    </bk>
    <bk>
      <rc t="2" v="475"/>
    </bk>
    <bk>
      <rc t="2" v="476"/>
    </bk>
    <bk>
      <rc t="2" v="477"/>
    </bk>
    <bk>
      <rc t="2" v="478"/>
    </bk>
    <bk>
      <rc t="2" v="479"/>
    </bk>
    <bk>
      <rc t="2" v="480"/>
    </bk>
    <bk>
      <rc t="2" v="481"/>
    </bk>
    <bk>
      <rc t="2" v="482"/>
    </bk>
    <bk>
      <rc t="2" v="483"/>
    </bk>
    <bk>
      <rc t="2" v="484"/>
    </bk>
    <bk>
      <rc t="2" v="485"/>
    </bk>
    <bk>
      <rc t="2" v="486"/>
    </bk>
    <bk>
      <rc t="2" v="487"/>
    </bk>
    <bk>
      <rc t="2" v="488"/>
    </bk>
    <bk>
      <rc t="2" v="489"/>
    </bk>
    <bk>
      <rc t="2" v="490"/>
    </bk>
    <bk>
      <rc t="2" v="491"/>
    </bk>
    <bk>
      <rc t="2" v="492"/>
    </bk>
    <bk>
      <rc t="2" v="493"/>
    </bk>
    <bk>
      <rc t="2" v="494"/>
    </bk>
    <bk>
      <rc t="2" v="495"/>
    </bk>
    <bk>
      <rc t="2" v="496"/>
    </bk>
    <bk>
      <rc t="2" v="497"/>
    </bk>
    <bk>
      <rc t="2" v="498"/>
    </bk>
    <bk>
      <rc t="2" v="499"/>
    </bk>
    <bk>
      <rc t="2" v="500"/>
    </bk>
    <bk>
      <rc t="2" v="501"/>
    </bk>
    <bk>
      <rc t="2" v="502"/>
    </bk>
    <bk>
      <rc t="2" v="503"/>
    </bk>
    <bk>
      <rc t="2" v="504"/>
    </bk>
    <bk>
      <rc t="2" v="505"/>
    </bk>
    <bk>
      <rc t="2" v="506"/>
    </bk>
    <bk>
      <rc t="2" v="507"/>
    </bk>
    <bk>
      <rc t="2" v="508"/>
    </bk>
    <bk>
      <rc t="2" v="509"/>
    </bk>
    <bk>
      <rc t="2" v="510"/>
    </bk>
    <bk>
      <rc t="2" v="511"/>
    </bk>
    <bk>
      <rc t="2" v="512"/>
    </bk>
    <bk>
      <rc t="2" v="513"/>
    </bk>
    <bk>
      <rc t="2" v="514"/>
    </bk>
    <bk>
      <rc t="2" v="515"/>
    </bk>
    <bk>
      <rc t="2" v="516"/>
    </bk>
    <bk>
      <rc t="2" v="517"/>
    </bk>
    <bk>
      <rc t="2" v="518"/>
    </bk>
    <bk>
      <rc t="2" v="519"/>
    </bk>
    <bk>
      <rc t="2" v="520"/>
    </bk>
    <bk>
      <rc t="2" v="521"/>
    </bk>
    <bk>
      <rc t="2" v="522"/>
    </bk>
    <bk>
      <rc t="2" v="523"/>
    </bk>
    <bk>
      <rc t="2" v="524"/>
    </bk>
    <bk>
      <rc t="2" v="525"/>
    </bk>
    <bk>
      <rc t="2" v="526"/>
    </bk>
    <bk>
      <rc t="2" v="527"/>
    </bk>
    <bk>
      <rc t="2" v="528"/>
    </bk>
    <bk>
      <rc t="2" v="529"/>
    </bk>
    <bk>
      <rc t="2" v="530"/>
    </bk>
    <bk>
      <rc t="2" v="531"/>
    </bk>
    <bk>
      <rc t="2" v="532"/>
    </bk>
    <bk>
      <rc t="2" v="533"/>
    </bk>
    <bk>
      <rc t="2" v="534"/>
    </bk>
    <bk>
      <rc t="2" v="535"/>
    </bk>
    <bk>
      <rc t="2" v="536"/>
    </bk>
    <bk>
      <rc t="2" v="537"/>
    </bk>
    <bk>
      <rc t="2" v="538"/>
    </bk>
    <bk>
      <rc t="2" v="539"/>
    </bk>
    <bk>
      <rc t="2" v="540"/>
    </bk>
    <bk>
      <rc t="2" v="541"/>
    </bk>
    <bk>
      <rc t="2" v="542"/>
    </bk>
    <bk>
      <rc t="2" v="543"/>
    </bk>
    <bk>
      <rc t="2" v="544"/>
    </bk>
    <bk>
      <rc t="2" v="545"/>
    </bk>
    <bk>
      <rc t="2" v="546"/>
    </bk>
    <bk>
      <rc t="2" v="547"/>
    </bk>
    <bk>
      <rc t="2" v="548"/>
    </bk>
    <bk>
      <rc t="2" v="549"/>
    </bk>
    <bk>
      <rc t="2" v="550"/>
    </bk>
    <bk>
      <rc t="2" v="551"/>
    </bk>
    <bk>
      <rc t="2" v="552"/>
    </bk>
    <bk>
      <rc t="2" v="553"/>
    </bk>
    <bk>
      <rc t="2" v="554"/>
    </bk>
    <bk>
      <rc t="2" v="555"/>
    </bk>
    <bk>
      <rc t="2" v="556"/>
    </bk>
    <bk>
      <rc t="2" v="557"/>
    </bk>
    <bk>
      <rc t="2" v="558"/>
    </bk>
    <bk>
      <rc t="2" v="559"/>
    </bk>
    <bk>
      <rc t="2" v="560"/>
    </bk>
    <bk>
      <rc t="2" v="561"/>
    </bk>
    <bk>
      <rc t="2" v="562"/>
    </bk>
    <bk>
      <rc t="2" v="563"/>
    </bk>
    <bk>
      <rc t="2" v="564"/>
    </bk>
    <bk>
      <rc t="2" v="565"/>
    </bk>
    <bk>
      <rc t="2" v="566"/>
    </bk>
    <bk>
      <rc t="2" v="567"/>
    </bk>
    <bk>
      <rc t="2" v="568"/>
    </bk>
    <bk>
      <rc t="2" v="569"/>
    </bk>
    <bk>
      <rc t="2" v="570"/>
    </bk>
    <bk>
      <rc t="2" v="571"/>
    </bk>
    <bk>
      <rc t="2" v="572"/>
    </bk>
    <bk>
      <rc t="2" v="573"/>
    </bk>
    <bk>
      <rc t="2" v="574"/>
    </bk>
    <bk>
      <rc t="2" v="575"/>
    </bk>
    <bk>
      <rc t="2" v="576"/>
    </bk>
    <bk>
      <rc t="2" v="577"/>
    </bk>
    <bk>
      <rc t="2" v="578"/>
    </bk>
    <bk>
      <rc t="2" v="579"/>
    </bk>
    <bk>
      <rc t="2" v="580"/>
    </bk>
    <bk>
      <rc t="2" v="581"/>
    </bk>
    <bk>
      <rc t="2" v="582"/>
    </bk>
    <bk>
      <rc t="2" v="583"/>
    </bk>
    <bk>
      <rc t="2" v="584"/>
    </bk>
    <bk>
      <rc t="2" v="585"/>
    </bk>
    <bk>
      <rc t="2" v="586"/>
    </bk>
    <bk>
      <rc t="2" v="587"/>
    </bk>
    <bk>
      <rc t="2" v="588"/>
    </bk>
    <bk>
      <rc t="2" v="589"/>
    </bk>
    <bk>
      <rc t="2" v="590"/>
    </bk>
    <bk>
      <rc t="2" v="591"/>
    </bk>
    <bk>
      <rc t="2" v="592"/>
    </bk>
    <bk>
      <rc t="2" v="593"/>
    </bk>
    <bk>
      <rc t="2" v="594"/>
    </bk>
    <bk>
      <rc t="2" v="595"/>
    </bk>
    <bk>
      <rc t="2" v="596"/>
    </bk>
    <bk>
      <rc t="2" v="597"/>
    </bk>
    <bk>
      <rc t="2" v="598"/>
    </bk>
    <bk>
      <rc t="2" v="599"/>
    </bk>
    <bk>
      <rc t="2" v="600"/>
    </bk>
    <bk>
      <rc t="2" v="601"/>
    </bk>
    <bk>
      <rc t="2" v="602"/>
    </bk>
    <bk>
      <rc t="2" v="603"/>
    </bk>
    <bk>
      <rc t="2" v="604"/>
    </bk>
    <bk>
      <rc t="2" v="605"/>
    </bk>
    <bk>
      <rc t="2" v="606"/>
    </bk>
    <bk>
      <rc t="2" v="607"/>
    </bk>
    <bk>
      <rc t="2" v="608"/>
    </bk>
    <bk>
      <rc t="2" v="609"/>
    </bk>
    <bk>
      <rc t="2" v="610"/>
    </bk>
    <bk>
      <rc t="2" v="611"/>
    </bk>
    <bk>
      <rc t="2" v="612"/>
    </bk>
    <bk>
      <rc t="2" v="613"/>
    </bk>
    <bk>
      <rc t="2" v="614"/>
    </bk>
    <bk>
      <rc t="2" v="615"/>
    </bk>
    <bk>
      <rc t="2" v="616"/>
    </bk>
    <bk>
      <rc t="2" v="617"/>
    </bk>
    <bk>
      <rc t="2" v="618"/>
    </bk>
    <bk>
      <rc t="2" v="619"/>
    </bk>
    <bk>
      <rc t="2" v="620"/>
    </bk>
    <bk>
      <rc t="2" v="621"/>
    </bk>
    <bk>
      <rc t="2" v="622"/>
    </bk>
    <bk>
      <rc t="2" v="623"/>
    </bk>
    <bk>
      <rc t="2" v="624"/>
    </bk>
    <bk>
      <rc t="2" v="625"/>
    </bk>
    <bk>
      <rc t="2" v="626"/>
    </bk>
    <bk>
      <rc t="2" v="627"/>
    </bk>
    <bk>
      <rc t="2" v="628"/>
    </bk>
    <bk>
      <rc t="2" v="629"/>
    </bk>
    <bk>
      <rc t="2" v="630"/>
    </bk>
    <bk>
      <rc t="2" v="631"/>
    </bk>
    <bk>
      <rc t="2" v="632"/>
    </bk>
    <bk>
      <rc t="2" v="633"/>
    </bk>
    <bk>
      <rc t="2" v="634"/>
    </bk>
    <bk>
      <rc t="2" v="635"/>
    </bk>
    <bk>
      <rc t="2" v="636"/>
    </bk>
    <bk>
      <rc t="2" v="637"/>
    </bk>
    <bk>
      <rc t="2" v="638"/>
    </bk>
    <bk>
      <rc t="2" v="639"/>
    </bk>
    <bk>
      <rc t="2" v="640"/>
    </bk>
    <bk>
      <rc t="2" v="641"/>
    </bk>
    <bk>
      <rc t="2" v="642"/>
    </bk>
    <bk>
      <rc t="2" v="643"/>
    </bk>
    <bk>
      <rc t="2" v="644"/>
    </bk>
    <bk>
      <rc t="2" v="645"/>
    </bk>
    <bk>
      <rc t="2" v="646"/>
    </bk>
    <bk>
      <rc t="2" v="647"/>
    </bk>
    <bk>
      <rc t="2" v="648"/>
    </bk>
    <bk>
      <rc t="2" v="649"/>
    </bk>
    <bk>
      <rc t="2" v="650"/>
    </bk>
    <bk>
      <rc t="2" v="651"/>
    </bk>
    <bk>
      <rc t="2" v="652"/>
    </bk>
    <bk>
      <rc t="2" v="653"/>
    </bk>
    <bk>
      <rc t="2" v="654"/>
    </bk>
    <bk>
      <rc t="2" v="655"/>
    </bk>
    <bk>
      <rc t="2" v="656"/>
    </bk>
    <bk>
      <rc t="2" v="657"/>
    </bk>
    <bk>
      <rc t="2" v="658"/>
    </bk>
    <bk>
      <rc t="2" v="659"/>
    </bk>
    <bk>
      <rc t="2" v="660"/>
    </bk>
    <bk>
      <rc t="2" v="661"/>
    </bk>
    <bk>
      <rc t="2" v="662"/>
    </bk>
    <bk>
      <rc t="2" v="663"/>
    </bk>
    <bk>
      <rc t="2" v="664"/>
    </bk>
    <bk>
      <rc t="2" v="665"/>
    </bk>
    <bk>
      <rc t="2" v="666"/>
    </bk>
    <bk>
      <rc t="2" v="667"/>
    </bk>
    <bk>
      <rc t="2" v="668"/>
    </bk>
    <bk>
      <rc t="2" v="669"/>
    </bk>
    <bk>
      <rc t="2" v="670"/>
    </bk>
    <bk>
      <rc t="2" v="671"/>
    </bk>
    <bk>
      <rc t="2" v="672"/>
    </bk>
    <bk>
      <rc t="2" v="673"/>
    </bk>
    <bk>
      <rc t="2" v="674"/>
    </bk>
    <bk>
      <rc t="2" v="675"/>
    </bk>
    <bk>
      <rc t="2" v="676"/>
    </bk>
    <bk>
      <rc t="2" v="677"/>
    </bk>
    <bk>
      <rc t="2" v="678"/>
    </bk>
    <bk>
      <rc t="2" v="679"/>
    </bk>
    <bk>
      <rc t="2" v="680"/>
    </bk>
    <bk>
      <rc t="2" v="681"/>
    </bk>
    <bk>
      <rc t="2" v="682"/>
    </bk>
    <bk>
      <rc t="2" v="683"/>
    </bk>
    <bk>
      <rc t="2" v="684"/>
    </bk>
    <bk>
      <rc t="2" v="685"/>
    </bk>
    <bk>
      <rc t="2" v="686"/>
    </bk>
    <bk>
      <rc t="2" v="687"/>
    </bk>
    <bk>
      <rc t="2" v="688"/>
    </bk>
    <bk>
      <rc t="2" v="689"/>
    </bk>
    <bk>
      <rc t="2" v="690"/>
    </bk>
    <bk>
      <rc t="2" v="691"/>
    </bk>
    <bk>
      <rc t="2" v="692"/>
    </bk>
    <bk>
      <rc t="2" v="693"/>
    </bk>
    <bk>
      <rc t="2" v="694"/>
    </bk>
    <bk>
      <rc t="2" v="695"/>
    </bk>
    <bk>
      <rc t="2" v="696"/>
    </bk>
    <bk>
      <rc t="2" v="697"/>
    </bk>
    <bk>
      <rc t="2" v="698"/>
    </bk>
    <bk>
      <rc t="2" v="699"/>
    </bk>
    <bk>
      <rc t="2" v="700"/>
    </bk>
    <bk>
      <rc t="2" v="701"/>
    </bk>
    <bk>
      <rc t="2" v="702"/>
    </bk>
    <bk>
      <rc t="2" v="703"/>
    </bk>
    <bk>
      <rc t="2" v="704"/>
    </bk>
    <bk>
      <rc t="2" v="705"/>
    </bk>
    <bk>
      <rc t="2" v="706"/>
    </bk>
    <bk>
      <rc t="2" v="707"/>
    </bk>
    <bk>
      <rc t="2" v="708"/>
    </bk>
    <bk>
      <rc t="2" v="709"/>
    </bk>
    <bk>
      <rc t="2" v="710"/>
    </bk>
    <bk>
      <rc t="2" v="711"/>
    </bk>
    <bk>
      <rc t="2" v="712"/>
    </bk>
    <bk>
      <rc t="2" v="713"/>
    </bk>
    <bk>
      <rc t="2" v="714"/>
    </bk>
    <bk>
      <rc t="2" v="715"/>
    </bk>
    <bk>
      <rc t="2" v="716"/>
    </bk>
    <bk>
      <rc t="2" v="717"/>
    </bk>
    <bk>
      <rc t="2" v="718"/>
    </bk>
    <bk>
      <rc t="2" v="719"/>
    </bk>
    <bk>
      <rc t="2" v="720"/>
    </bk>
    <bk>
      <rc t="2" v="721"/>
    </bk>
    <bk>
      <rc t="2" v="722"/>
    </bk>
    <bk>
      <rc t="2" v="723"/>
    </bk>
    <bk>
      <rc t="2" v="724"/>
    </bk>
    <bk>
      <rc t="2" v="725"/>
    </bk>
    <bk>
      <rc t="2" v="726"/>
    </bk>
    <bk>
      <rc t="2" v="727"/>
    </bk>
    <bk>
      <rc t="2" v="728"/>
    </bk>
    <bk>
      <rc t="2" v="729"/>
    </bk>
    <bk>
      <rc t="2" v="730"/>
    </bk>
    <bk>
      <rc t="2" v="731"/>
    </bk>
    <bk>
      <rc t="2" v="732"/>
    </bk>
    <bk>
      <rc t="2" v="733"/>
    </bk>
    <bk>
      <rc t="2" v="734"/>
    </bk>
    <bk>
      <rc t="2" v="735"/>
    </bk>
    <bk>
      <rc t="2" v="736"/>
    </bk>
    <bk>
      <rc t="2" v="737"/>
    </bk>
    <bk>
      <rc t="2" v="738"/>
    </bk>
    <bk>
      <rc t="2" v="739"/>
    </bk>
    <bk>
      <rc t="2" v="740"/>
    </bk>
    <bk>
      <rc t="2" v="741"/>
    </bk>
    <bk>
      <rc t="2" v="742"/>
    </bk>
    <bk>
      <rc t="2" v="743"/>
    </bk>
    <bk>
      <rc t="2" v="744"/>
    </bk>
    <bk>
      <rc t="2" v="745"/>
    </bk>
    <bk>
      <rc t="2" v="746"/>
    </bk>
    <bk>
      <rc t="2" v="747"/>
    </bk>
    <bk>
      <rc t="2" v="748"/>
    </bk>
    <bk>
      <rc t="2" v="749"/>
    </bk>
    <bk>
      <rc t="2" v="750"/>
    </bk>
    <bk>
      <rc t="2" v="751"/>
    </bk>
    <bk>
      <rc t="2" v="752"/>
    </bk>
    <bk>
      <rc t="2" v="753"/>
    </bk>
    <bk>
      <rc t="2" v="754"/>
    </bk>
    <bk>
      <rc t="2" v="755"/>
    </bk>
    <bk>
      <rc t="2" v="756"/>
    </bk>
    <bk>
      <rc t="2" v="757"/>
    </bk>
    <bk>
      <rc t="2" v="758"/>
    </bk>
    <bk>
      <rc t="2" v="759"/>
    </bk>
    <bk>
      <rc t="2" v="760"/>
    </bk>
    <bk>
      <rc t="2" v="761"/>
    </bk>
    <bk>
      <rc t="2" v="762"/>
    </bk>
    <bk>
      <rc t="2" v="763"/>
    </bk>
    <bk>
      <rc t="2" v="764"/>
    </bk>
    <bk>
      <rc t="2" v="765"/>
    </bk>
    <bk>
      <rc t="2" v="766"/>
    </bk>
    <bk>
      <rc t="2" v="767"/>
    </bk>
    <bk>
      <rc t="2" v="768"/>
    </bk>
    <bk>
      <rc t="2" v="769"/>
    </bk>
    <bk>
      <rc t="2" v="770"/>
    </bk>
    <bk>
      <rc t="2" v="771"/>
    </bk>
    <bk>
      <rc t="2" v="772"/>
    </bk>
    <bk>
      <rc t="2" v="773"/>
    </bk>
    <bk>
      <rc t="2" v="774"/>
    </bk>
    <bk>
      <rc t="2" v="775"/>
    </bk>
    <bk>
      <rc t="2" v="776"/>
    </bk>
    <bk>
      <rc t="2" v="777"/>
    </bk>
    <bk>
      <rc t="2" v="778"/>
    </bk>
    <bk>
      <rc t="2" v="779"/>
    </bk>
    <bk>
      <rc t="2" v="780"/>
    </bk>
    <bk>
      <rc t="2" v="781"/>
    </bk>
    <bk>
      <rc t="2" v="782"/>
    </bk>
    <bk>
      <rc t="2" v="783"/>
    </bk>
    <bk>
      <rc t="2" v="784"/>
    </bk>
    <bk>
      <rc t="2" v="785"/>
    </bk>
    <bk>
      <rc t="2" v="786"/>
    </bk>
    <bk>
      <rc t="2" v="787"/>
    </bk>
    <bk>
      <rc t="2" v="788"/>
    </bk>
    <bk>
      <rc t="2" v="789"/>
    </bk>
    <bk>
      <rc t="2" v="790"/>
    </bk>
    <bk>
      <rc t="2" v="791"/>
    </bk>
    <bk>
      <rc t="2" v="792"/>
    </bk>
    <bk>
      <rc t="2" v="793"/>
    </bk>
    <bk>
      <rc t="2" v="794"/>
    </bk>
    <bk>
      <rc t="2" v="795"/>
    </bk>
    <bk>
      <rc t="2" v="796"/>
    </bk>
    <bk>
      <rc t="2" v="797"/>
    </bk>
    <bk>
      <rc t="2" v="798"/>
    </bk>
    <bk>
      <rc t="2" v="799"/>
    </bk>
    <bk>
      <rc t="2" v="800"/>
    </bk>
    <bk>
      <rc t="2" v="801"/>
    </bk>
    <bk>
      <rc t="2" v="802"/>
    </bk>
    <bk>
      <rc t="2" v="803"/>
    </bk>
    <bk>
      <rc t="2" v="804"/>
    </bk>
    <bk>
      <rc t="2" v="805"/>
    </bk>
    <bk>
      <rc t="2" v="806"/>
    </bk>
    <bk>
      <rc t="2" v="807"/>
    </bk>
    <bk>
      <rc t="2" v="808"/>
    </bk>
    <bk>
      <rc t="2" v="809"/>
    </bk>
    <bk>
      <rc t="2" v="810"/>
    </bk>
    <bk>
      <rc t="2" v="811"/>
    </bk>
    <bk>
      <rc t="2" v="812"/>
    </bk>
    <bk>
      <rc t="2" v="813"/>
    </bk>
    <bk>
      <rc t="2" v="814"/>
    </bk>
    <bk>
      <rc t="2" v="815"/>
    </bk>
    <bk>
      <rc t="2" v="816"/>
    </bk>
    <bk>
      <rc t="2" v="817"/>
    </bk>
    <bk>
      <rc t="2" v="818"/>
    </bk>
    <bk>
      <rc t="2" v="819"/>
    </bk>
    <bk>
      <rc t="2" v="820"/>
    </bk>
    <bk>
      <rc t="2" v="821"/>
    </bk>
    <bk>
      <rc t="2" v="822"/>
    </bk>
    <bk>
      <rc t="2" v="823"/>
    </bk>
    <bk>
      <rc t="2" v="824"/>
    </bk>
    <bk>
      <rc t="2" v="825"/>
    </bk>
    <bk>
      <rc t="2" v="826"/>
    </bk>
    <bk>
      <rc t="2" v="827"/>
    </bk>
    <bk>
      <rc t="2" v="828"/>
    </bk>
    <bk>
      <rc t="2" v="829"/>
    </bk>
    <bk>
      <rc t="2" v="830"/>
    </bk>
    <bk>
      <rc t="2" v="831"/>
    </bk>
    <bk>
      <rc t="2" v="832"/>
    </bk>
    <bk>
      <rc t="2" v="833"/>
    </bk>
    <bk>
      <rc t="2" v="834"/>
    </bk>
    <bk>
      <rc t="2" v="835"/>
    </bk>
    <bk>
      <rc t="2" v="836"/>
    </bk>
    <bk>
      <rc t="2" v="837"/>
    </bk>
    <bk>
      <rc t="2" v="838"/>
    </bk>
    <bk>
      <rc t="2" v="839"/>
    </bk>
    <bk>
      <rc t="2" v="840"/>
    </bk>
    <bk>
      <rc t="2" v="841"/>
    </bk>
    <bk>
      <rc t="2" v="842"/>
    </bk>
    <bk>
      <rc t="2" v="843"/>
    </bk>
    <bk>
      <rc t="2" v="844"/>
    </bk>
    <bk>
      <rc t="2" v="845"/>
    </bk>
    <bk>
      <rc t="2" v="846"/>
    </bk>
    <bk>
      <rc t="2" v="847"/>
    </bk>
    <bk>
      <rc t="2" v="848"/>
    </bk>
    <bk>
      <rc t="2" v="849"/>
    </bk>
    <bk>
      <rc t="2" v="850"/>
    </bk>
    <bk>
      <rc t="2" v="851"/>
    </bk>
    <bk>
      <rc t="2" v="852"/>
    </bk>
    <bk>
      <rc t="2" v="853"/>
    </bk>
    <bk>
      <rc t="2" v="854"/>
    </bk>
    <bk>
      <rc t="2" v="855"/>
    </bk>
    <bk>
      <rc t="2" v="856"/>
    </bk>
    <bk>
      <rc t="2" v="857"/>
    </bk>
    <bk>
      <rc t="2" v="858"/>
    </bk>
    <bk>
      <rc t="2" v="859"/>
    </bk>
    <bk>
      <rc t="2" v="860"/>
    </bk>
    <bk>
      <rc t="2" v="861"/>
    </bk>
    <bk>
      <rc t="2" v="862"/>
    </bk>
    <bk>
      <rc t="2" v="863"/>
    </bk>
    <bk>
      <rc t="2" v="864"/>
    </bk>
    <bk>
      <rc t="2" v="865"/>
    </bk>
    <bk>
      <rc t="2" v="866"/>
    </bk>
    <bk>
      <rc t="2" v="867"/>
    </bk>
    <bk>
      <rc t="2" v="868"/>
    </bk>
    <bk>
      <rc t="2" v="869"/>
    </bk>
    <bk>
      <rc t="2" v="870"/>
    </bk>
    <bk>
      <rc t="2" v="871"/>
    </bk>
    <bk>
      <rc t="2" v="872"/>
    </bk>
    <bk>
      <rc t="2" v="873"/>
    </bk>
    <bk>
      <rc t="2" v="874"/>
    </bk>
    <bk>
      <rc t="2" v="875"/>
    </bk>
    <bk>
      <rc t="2" v="876"/>
    </bk>
    <bk>
      <rc t="2" v="877"/>
    </bk>
    <bk>
      <rc t="2" v="878"/>
    </bk>
    <bk>
      <rc t="2" v="879"/>
    </bk>
    <bk>
      <rc t="2" v="880"/>
    </bk>
    <bk>
      <rc t="2" v="881"/>
    </bk>
    <bk>
      <rc t="2" v="882"/>
    </bk>
    <bk>
      <rc t="2" v="883"/>
    </bk>
    <bk>
      <rc t="2" v="884"/>
    </bk>
    <bk>
      <rc t="2" v="885"/>
    </bk>
    <bk>
      <rc t="2" v="886"/>
    </bk>
    <bk>
      <rc t="2" v="887"/>
    </bk>
    <bk>
      <rc t="2" v="888"/>
    </bk>
    <bk>
      <rc t="2" v="889"/>
    </bk>
    <bk>
      <rc t="2" v="890"/>
    </bk>
    <bk>
      <rc t="2" v="891"/>
    </bk>
    <bk>
      <rc t="2" v="892"/>
    </bk>
    <bk>
      <rc t="2" v="893"/>
    </bk>
    <bk>
      <rc t="2" v="894"/>
    </bk>
    <bk>
      <rc t="2" v="895"/>
    </bk>
    <bk>
      <rc t="2" v="896"/>
    </bk>
    <bk>
      <rc t="2" v="897"/>
    </bk>
    <bk>
      <rc t="2" v="898"/>
    </bk>
    <bk>
      <rc t="2" v="899"/>
    </bk>
    <bk>
      <rc t="2" v="900"/>
    </bk>
    <bk>
      <rc t="2" v="901"/>
    </bk>
    <bk>
      <rc t="2" v="902"/>
    </bk>
    <bk>
      <rc t="2" v="903"/>
    </bk>
    <bk>
      <rc t="2" v="904"/>
    </bk>
    <bk>
      <rc t="2" v="905"/>
    </bk>
    <bk>
      <rc t="2" v="906"/>
    </bk>
    <bk>
      <rc t="2" v="907"/>
    </bk>
    <bk>
      <rc t="2" v="908"/>
    </bk>
    <bk>
      <rc t="2" v="909"/>
    </bk>
    <bk>
      <rc t="2" v="910"/>
    </bk>
    <bk>
      <rc t="2" v="911"/>
    </bk>
    <bk>
      <rc t="2" v="912"/>
    </bk>
    <bk>
      <rc t="2" v="913"/>
    </bk>
    <bk>
      <rc t="2" v="914"/>
    </bk>
    <bk>
      <rc t="2" v="915"/>
    </bk>
    <bk>
      <rc t="2" v="916"/>
    </bk>
    <bk>
      <rc t="2" v="917"/>
    </bk>
    <bk>
      <rc t="2" v="918"/>
    </bk>
    <bk>
      <rc t="2" v="919"/>
    </bk>
    <bk>
      <rc t="2" v="920"/>
    </bk>
    <bk>
      <rc t="2" v="921"/>
    </bk>
    <bk>
      <rc t="2" v="922"/>
    </bk>
    <bk>
      <rc t="2" v="923"/>
    </bk>
    <bk>
      <rc t="2" v="924"/>
    </bk>
    <bk>
      <rc t="2" v="925"/>
    </bk>
    <bk>
      <rc t="2" v="926"/>
    </bk>
    <bk>
      <rc t="2" v="927"/>
    </bk>
    <bk>
      <rc t="2" v="928"/>
    </bk>
    <bk>
      <rc t="2" v="929"/>
    </bk>
    <bk>
      <rc t="2" v="930"/>
    </bk>
    <bk>
      <rc t="2" v="931"/>
    </bk>
    <bk>
      <rc t="2" v="932"/>
    </bk>
    <bk>
      <rc t="2" v="933"/>
    </bk>
    <bk>
      <rc t="2" v="934"/>
    </bk>
    <bk>
      <rc t="2" v="935"/>
    </bk>
    <bk>
      <rc t="2" v="936"/>
    </bk>
    <bk>
      <rc t="2" v="937"/>
    </bk>
    <bk>
      <rc t="2" v="938"/>
    </bk>
    <bk>
      <rc t="2" v="939"/>
    </bk>
    <bk>
      <rc t="2" v="940"/>
    </bk>
    <bk>
      <rc t="2" v="941"/>
    </bk>
    <bk>
      <rc t="2" v="942"/>
    </bk>
    <bk>
      <rc t="2" v="943"/>
    </bk>
    <bk>
      <rc t="2" v="944"/>
    </bk>
    <bk>
      <rc t="2" v="945"/>
    </bk>
    <bk>
      <rc t="2" v="946"/>
    </bk>
    <bk>
      <rc t="2" v="947"/>
    </bk>
    <bk>
      <rc t="2" v="948"/>
    </bk>
    <bk>
      <rc t="2" v="949"/>
    </bk>
    <bk>
      <rc t="2" v="950"/>
    </bk>
    <bk>
      <rc t="2" v="951"/>
    </bk>
    <bk>
      <rc t="2" v="952"/>
    </bk>
    <bk>
      <rc t="2" v="953"/>
    </bk>
    <bk>
      <rc t="2" v="954"/>
    </bk>
    <bk>
      <rc t="2" v="955"/>
    </bk>
    <bk>
      <rc t="2" v="956"/>
    </bk>
    <bk>
      <rc t="2" v="957"/>
    </bk>
    <bk>
      <rc t="2" v="958"/>
    </bk>
    <bk>
      <rc t="2" v="959"/>
    </bk>
    <bk>
      <rc t="2" v="960"/>
    </bk>
    <bk>
      <rc t="2" v="961"/>
    </bk>
    <bk>
      <rc t="2" v="962"/>
    </bk>
    <bk>
      <rc t="2" v="963"/>
    </bk>
    <bk>
      <rc t="2" v="964"/>
    </bk>
    <bk>
      <rc t="2" v="965"/>
    </bk>
    <bk>
      <rc t="2" v="966"/>
    </bk>
    <bk>
      <rc t="2" v="967"/>
    </bk>
    <bk>
      <rc t="2" v="968"/>
    </bk>
    <bk>
      <rc t="2" v="969"/>
    </bk>
    <bk>
      <rc t="2" v="970"/>
    </bk>
    <bk>
      <rc t="2" v="971"/>
    </bk>
    <bk>
      <rc t="2" v="972"/>
    </bk>
    <bk>
      <rc t="2" v="973"/>
    </bk>
    <bk>
      <rc t="2" v="974"/>
    </bk>
    <bk>
      <rc t="2" v="975"/>
    </bk>
    <bk>
      <rc t="2" v="976"/>
    </bk>
    <bk>
      <rc t="2" v="977"/>
    </bk>
    <bk>
      <rc t="2" v="978"/>
    </bk>
    <bk>
      <rc t="2" v="979"/>
    </bk>
    <bk>
      <rc t="2" v="980"/>
    </bk>
    <bk>
      <rc t="2" v="981"/>
    </bk>
    <bk>
      <rc t="2" v="982"/>
    </bk>
    <bk>
      <rc t="2" v="983"/>
    </bk>
    <bk>
      <rc t="2" v="984"/>
    </bk>
    <bk>
      <rc t="2" v="985"/>
    </bk>
    <bk>
      <rc t="2" v="986"/>
    </bk>
    <bk>
      <rc t="2" v="987"/>
    </bk>
    <bk>
      <rc t="2" v="988"/>
    </bk>
    <bk>
      <rc t="2" v="989"/>
    </bk>
    <bk>
      <rc t="2" v="990"/>
    </bk>
    <bk>
      <rc t="2" v="991"/>
    </bk>
    <bk>
      <rc t="2" v="992"/>
    </bk>
    <bk>
      <rc t="2" v="993"/>
    </bk>
    <bk>
      <rc t="2" v="994"/>
    </bk>
    <bk>
      <rc t="2" v="995"/>
    </bk>
    <bk>
      <rc t="2" v="996"/>
    </bk>
    <bk>
      <rc t="2" v="997"/>
    </bk>
    <bk>
      <rc t="2" v="998"/>
    </bk>
    <bk>
      <rc t="2" v="999"/>
    </bk>
    <bk>
      <rc t="2" v="1000"/>
    </bk>
    <bk>
      <rc t="2" v="1001"/>
    </bk>
    <bk>
      <rc t="2" v="1002"/>
    </bk>
    <bk>
      <rc t="2" v="1003"/>
    </bk>
    <bk>
      <rc t="2" v="1004"/>
    </bk>
    <bk>
      <rc t="2" v="1005"/>
    </bk>
    <bk>
      <rc t="2" v="1006"/>
    </bk>
    <bk>
      <rc t="2" v="1007"/>
    </bk>
    <bk>
      <rc t="2" v="1008"/>
    </bk>
    <bk>
      <rc t="2" v="1009"/>
    </bk>
    <bk>
      <rc t="2" v="1010"/>
    </bk>
    <bk>
      <rc t="2" v="1011"/>
    </bk>
    <bk>
      <rc t="2" v="1012"/>
    </bk>
    <bk>
      <rc t="2" v="1013"/>
    </bk>
    <bk>
      <rc t="2" v="1014"/>
    </bk>
    <bk>
      <rc t="2" v="1015"/>
    </bk>
    <bk>
      <rc t="2" v="1016"/>
    </bk>
    <bk>
      <rc t="2" v="1017"/>
    </bk>
    <bk>
      <rc t="2" v="1018"/>
    </bk>
    <bk>
      <rc t="2" v="1019"/>
    </bk>
    <bk>
      <rc t="2" v="1020"/>
    </bk>
    <bk>
      <rc t="2" v="1021"/>
    </bk>
    <bk>
      <rc t="2" v="1022"/>
    </bk>
    <bk>
      <rc t="2" v="1023"/>
    </bk>
    <bk>
      <rc t="2" v="1024"/>
    </bk>
    <bk>
      <rc t="2" v="1025"/>
    </bk>
    <bk>
      <rc t="2" v="1026"/>
    </bk>
    <bk>
      <rc t="2" v="1027"/>
    </bk>
    <bk>
      <rc t="2" v="1028"/>
    </bk>
    <bk>
      <rc t="2" v="1029"/>
    </bk>
    <bk>
      <rc t="2" v="1030"/>
    </bk>
    <bk>
      <rc t="2" v="1031"/>
    </bk>
    <bk>
      <rc t="2" v="1032"/>
    </bk>
    <bk>
      <rc t="2" v="1033"/>
    </bk>
    <bk>
      <rc t="2" v="1034"/>
    </bk>
    <bk>
      <rc t="2" v="1035"/>
    </bk>
    <bk>
      <rc t="2" v="1036"/>
    </bk>
    <bk>
      <rc t="2" v="1037"/>
    </bk>
    <bk>
      <rc t="2" v="1038"/>
    </bk>
    <bk>
      <rc t="2" v="1039"/>
    </bk>
    <bk>
      <rc t="2" v="1040"/>
    </bk>
    <bk>
      <rc t="2" v="1041"/>
    </bk>
    <bk>
      <rc t="2" v="1042"/>
    </bk>
    <bk>
      <rc t="2" v="1043"/>
    </bk>
    <bk>
      <rc t="2" v="1044"/>
    </bk>
    <bk>
      <rc t="2" v="1045"/>
    </bk>
    <bk>
      <rc t="2" v="1046"/>
    </bk>
    <bk>
      <rc t="2" v="1047"/>
    </bk>
    <bk>
      <rc t="2" v="1048"/>
    </bk>
    <bk>
      <rc t="2" v="1049"/>
    </bk>
    <bk>
      <rc t="2" v="1050"/>
    </bk>
    <bk>
      <rc t="2" v="1051"/>
    </bk>
    <bk>
      <rc t="2" v="1052"/>
    </bk>
    <bk>
      <rc t="2" v="1053"/>
    </bk>
    <bk>
      <rc t="2" v="1054"/>
    </bk>
    <bk>
      <rc t="2" v="1055"/>
    </bk>
    <bk>
      <rc t="2" v="1056"/>
    </bk>
    <bk>
      <rc t="2" v="1057"/>
    </bk>
    <bk>
      <rc t="2" v="1058"/>
    </bk>
    <bk>
      <rc t="2" v="1059"/>
    </bk>
    <bk>
      <rc t="2" v="1060"/>
    </bk>
    <bk>
      <rc t="2" v="1061"/>
    </bk>
    <bk>
      <rc t="2" v="1062"/>
    </bk>
    <bk>
      <rc t="2" v="1063"/>
    </bk>
    <bk>
      <rc t="2" v="1064"/>
    </bk>
    <bk>
      <rc t="2" v="1065"/>
    </bk>
    <bk>
      <rc t="2" v="1066"/>
    </bk>
    <bk>
      <rc t="2" v="1067"/>
    </bk>
    <bk>
      <rc t="2" v="1068"/>
    </bk>
    <bk>
      <rc t="2" v="1069"/>
    </bk>
    <bk>
      <rc t="2" v="1070"/>
    </bk>
    <bk>
      <rc t="2" v="1071"/>
    </bk>
    <bk>
      <rc t="2" v="1072"/>
    </bk>
    <bk>
      <rc t="2" v="1073"/>
    </bk>
    <bk>
      <rc t="2" v="1074"/>
    </bk>
    <bk>
      <rc t="2" v="1075"/>
    </bk>
    <bk>
      <rc t="2" v="1076"/>
    </bk>
    <bk>
      <rc t="2" v="1077"/>
    </bk>
    <bk>
      <rc t="2" v="1078"/>
    </bk>
    <bk>
      <rc t="2" v="1079"/>
    </bk>
    <bk>
      <rc t="2" v="1080"/>
    </bk>
    <bk>
      <rc t="2" v="1081"/>
    </bk>
    <bk>
      <rc t="2" v="1082"/>
    </bk>
    <bk>
      <rc t="2" v="1083"/>
    </bk>
    <bk>
      <rc t="2" v="1084"/>
    </bk>
    <bk>
      <rc t="2" v="1085"/>
    </bk>
    <bk>
      <rc t="2" v="1086"/>
    </bk>
    <bk>
      <rc t="2" v="1087"/>
    </bk>
    <bk>
      <rc t="2" v="1088"/>
    </bk>
    <bk>
      <rc t="2" v="1089"/>
    </bk>
    <bk>
      <rc t="2" v="1090"/>
    </bk>
    <bk>
      <rc t="2" v="1091"/>
    </bk>
    <bk>
      <rc t="2" v="1092"/>
    </bk>
    <bk>
      <rc t="2" v="1093"/>
    </bk>
    <bk>
      <rc t="2" v="1094"/>
    </bk>
    <bk>
      <rc t="2" v="1095"/>
    </bk>
    <bk>
      <rc t="2" v="1096"/>
    </bk>
    <bk>
      <rc t="2" v="1097"/>
    </bk>
    <bk>
      <rc t="2" v="1098"/>
    </bk>
    <bk>
      <rc t="2" v="1099"/>
    </bk>
    <bk>
      <rc t="2" v="1100"/>
    </bk>
    <bk>
      <rc t="2" v="1101"/>
    </bk>
    <bk>
      <rc t="2" v="1102"/>
    </bk>
    <bk>
      <rc t="2" v="1103"/>
    </bk>
    <bk>
      <rc t="2" v="1104"/>
    </bk>
    <bk>
      <rc t="2" v="1105"/>
    </bk>
    <bk>
      <rc t="2" v="1106"/>
    </bk>
    <bk>
      <rc t="2" v="1107"/>
    </bk>
    <bk>
      <rc t="2" v="1108"/>
    </bk>
    <bk>
      <rc t="2" v="1109"/>
    </bk>
    <bk>
      <rc t="2" v="1110"/>
    </bk>
    <bk>
      <rc t="2" v="1111"/>
    </bk>
    <bk>
      <rc t="2" v="1112"/>
    </bk>
    <bk>
      <rc t="2" v="1113"/>
    </bk>
    <bk>
      <rc t="2" v="1114"/>
    </bk>
    <bk>
      <rc t="2" v="1115"/>
    </bk>
    <bk>
      <rc t="2" v="1116"/>
    </bk>
    <bk>
      <rc t="2" v="1117"/>
    </bk>
    <bk>
      <rc t="2" v="1118"/>
    </bk>
    <bk>
      <rc t="2" v="1119"/>
    </bk>
    <bk>
      <rc t="2" v="1120"/>
    </bk>
    <bk>
      <rc t="2" v="1121"/>
    </bk>
    <bk>
      <rc t="2" v="1122"/>
    </bk>
    <bk>
      <rc t="2" v="1123"/>
    </bk>
    <bk>
      <rc t="2" v="1124"/>
    </bk>
    <bk>
      <rc t="2" v="1125"/>
    </bk>
    <bk>
      <rc t="2" v="1126"/>
    </bk>
    <bk>
      <rc t="2" v="1127"/>
    </bk>
    <bk>
      <rc t="2" v="1128"/>
    </bk>
    <bk>
      <rc t="2" v="1129"/>
    </bk>
    <bk>
      <rc t="2" v="1130"/>
    </bk>
    <bk>
      <rc t="2" v="1131"/>
    </bk>
    <bk>
      <rc t="2" v="1132"/>
    </bk>
    <bk>
      <rc t="2" v="1133"/>
    </bk>
    <bk>
      <rc t="2" v="1134"/>
    </bk>
    <bk>
      <rc t="2" v="1135"/>
    </bk>
    <bk>
      <rc t="2" v="1136"/>
    </bk>
    <bk>
      <rc t="2" v="1137"/>
    </bk>
    <bk>
      <rc t="2" v="1138"/>
    </bk>
    <bk>
      <rc t="2" v="1139"/>
    </bk>
    <bk>
      <rc t="2" v="1140"/>
    </bk>
    <bk>
      <rc t="2" v="1141"/>
    </bk>
    <bk>
      <rc t="2" v="1142"/>
    </bk>
    <bk>
      <rc t="2" v="1143"/>
    </bk>
    <bk>
      <rc t="2" v="1144"/>
    </bk>
    <bk>
      <rc t="2" v="1145"/>
    </bk>
    <bk>
      <rc t="2" v="1146"/>
    </bk>
    <bk>
      <rc t="2" v="1147"/>
    </bk>
    <bk>
      <rc t="2" v="1148"/>
    </bk>
    <bk>
      <rc t="2" v="1149"/>
    </bk>
    <bk>
      <rc t="2" v="1150"/>
    </bk>
    <bk>
      <rc t="2" v="1151"/>
    </bk>
    <bk>
      <rc t="2" v="1152"/>
    </bk>
    <bk>
      <rc t="2" v="1153"/>
    </bk>
    <bk>
      <rc t="2" v="1154"/>
    </bk>
    <bk>
      <rc t="2" v="1155"/>
    </bk>
    <bk>
      <rc t="2" v="1156"/>
    </bk>
    <bk>
      <rc t="2" v="1157"/>
    </bk>
    <bk>
      <rc t="2" v="1158"/>
    </bk>
    <bk>
      <rc t="2" v="1159"/>
    </bk>
    <bk>
      <rc t="2" v="1160"/>
    </bk>
    <bk>
      <rc t="2" v="1161"/>
    </bk>
    <bk>
      <rc t="2" v="1162"/>
    </bk>
    <bk>
      <rc t="2" v="1163"/>
    </bk>
    <bk>
      <rc t="2" v="1164"/>
    </bk>
    <bk>
      <rc t="2" v="1165"/>
    </bk>
    <bk>
      <rc t="2" v="1166"/>
    </bk>
    <bk>
      <rc t="2" v="1167"/>
    </bk>
    <bk>
      <rc t="2" v="1168"/>
    </bk>
    <bk>
      <rc t="2" v="1169"/>
    </bk>
    <bk>
      <rc t="2" v="1170"/>
    </bk>
    <bk>
      <rc t="2" v="1171"/>
    </bk>
    <bk>
      <rc t="2" v="1172"/>
    </bk>
    <bk>
      <rc t="2" v="1173"/>
    </bk>
    <bk>
      <rc t="2" v="1174"/>
    </bk>
    <bk>
      <rc t="2" v="1175"/>
    </bk>
    <bk>
      <rc t="2" v="1176"/>
    </bk>
    <bk>
      <rc t="2" v="1177"/>
    </bk>
    <bk>
      <rc t="2" v="1178"/>
    </bk>
    <bk>
      <rc t="2" v="1179"/>
    </bk>
    <bk>
      <rc t="2" v="1180"/>
    </bk>
    <bk>
      <rc t="2" v="1181"/>
    </bk>
    <bk>
      <rc t="2" v="1182"/>
    </bk>
    <bk>
      <rc t="2" v="1183"/>
    </bk>
    <bk>
      <rc t="2" v="1184"/>
    </bk>
    <bk>
      <rc t="2" v="1185"/>
    </bk>
    <bk>
      <rc t="2" v="1186"/>
    </bk>
    <bk>
      <rc t="2" v="1187"/>
    </bk>
    <bk>
      <rc t="2" v="1188"/>
    </bk>
    <bk>
      <rc t="2" v="1189"/>
    </bk>
    <bk>
      <rc t="2" v="1190"/>
    </bk>
    <bk>
      <rc t="2" v="1191"/>
    </bk>
    <bk>
      <rc t="2" v="1192"/>
    </bk>
    <bk>
      <rc t="2" v="1193"/>
    </bk>
    <bk>
      <rc t="2" v="1194"/>
    </bk>
    <bk>
      <rc t="2" v="1195"/>
    </bk>
    <bk>
      <rc t="2" v="1196"/>
    </bk>
    <bk>
      <rc t="2" v="1197"/>
    </bk>
    <bk>
      <rc t="2" v="1198"/>
    </bk>
    <bk>
      <rc t="2" v="1199"/>
    </bk>
    <bk>
      <rc t="2" v="1200"/>
    </bk>
    <bk>
      <rc t="2" v="1201"/>
    </bk>
    <bk>
      <rc t="2" v="1202"/>
    </bk>
    <bk>
      <rc t="2" v="1203"/>
    </bk>
    <bk>
      <rc t="2" v="1204"/>
    </bk>
    <bk>
      <rc t="2" v="1205"/>
    </bk>
    <bk>
      <rc t="2" v="1206"/>
    </bk>
    <bk>
      <rc t="2" v="1207"/>
    </bk>
    <bk>
      <rc t="2" v="1208"/>
    </bk>
    <bk>
      <rc t="2" v="1209"/>
    </bk>
    <bk>
      <rc t="2" v="1210"/>
    </bk>
    <bk>
      <rc t="2" v="1211"/>
    </bk>
    <bk>
      <rc t="2" v="1212"/>
    </bk>
    <bk>
      <rc t="2" v="1213"/>
    </bk>
    <bk>
      <rc t="2" v="1214"/>
    </bk>
    <bk>
      <rc t="2" v="1215"/>
    </bk>
    <bk>
      <rc t="2" v="1216"/>
    </bk>
    <bk>
      <rc t="2" v="1217"/>
    </bk>
    <bk>
      <rc t="2" v="1218"/>
    </bk>
    <bk>
      <rc t="2" v="1219"/>
    </bk>
    <bk>
      <rc t="2" v="1220"/>
    </bk>
    <bk>
      <rc t="2" v="1221"/>
    </bk>
    <bk>
      <rc t="2" v="1222"/>
    </bk>
    <bk>
      <rc t="2" v="1223"/>
    </bk>
    <bk>
      <rc t="2" v="1224"/>
    </bk>
    <bk>
      <rc t="2" v="1225"/>
    </bk>
    <bk>
      <rc t="2" v="1226"/>
    </bk>
    <bk>
      <rc t="2" v="1227"/>
    </bk>
    <bk>
      <rc t="2" v="1228"/>
    </bk>
    <bk>
      <rc t="2" v="1229"/>
    </bk>
    <bk>
      <rc t="2" v="1230"/>
    </bk>
    <bk>
      <rc t="2" v="1231"/>
    </bk>
    <bk>
      <rc t="2" v="1232"/>
    </bk>
    <bk>
      <rc t="2" v="1233"/>
    </bk>
    <bk>
      <rc t="2" v="1234"/>
    </bk>
    <bk>
      <rc t="2" v="1235"/>
    </bk>
    <bk>
      <rc t="2" v="1236"/>
    </bk>
    <bk>
      <rc t="2" v="1237"/>
    </bk>
    <bk>
      <rc t="2" v="1238"/>
    </bk>
    <bk>
      <rc t="2" v="1239"/>
    </bk>
    <bk>
      <rc t="2" v="1240"/>
    </bk>
    <bk>
      <rc t="2" v="1241"/>
    </bk>
    <bk>
      <rc t="2" v="1242"/>
    </bk>
    <bk>
      <rc t="2" v="1243"/>
    </bk>
    <bk>
      <rc t="2" v="1244"/>
    </bk>
    <bk>
      <rc t="2" v="1245"/>
    </bk>
    <bk>
      <rc t="2" v="1246"/>
    </bk>
    <bk>
      <rc t="2" v="1247"/>
    </bk>
    <bk>
      <rc t="2" v="1248"/>
    </bk>
    <bk>
      <rc t="2" v="1249"/>
    </bk>
    <bk>
      <rc t="2" v="1250"/>
    </bk>
    <bk>
      <rc t="2" v="1251"/>
    </bk>
    <bk>
      <rc t="2" v="1252"/>
    </bk>
    <bk>
      <rc t="2" v="1253"/>
    </bk>
    <bk>
      <rc t="2" v="1254"/>
    </bk>
    <bk>
      <rc t="2" v="1255"/>
    </bk>
    <bk>
      <rc t="2" v="1256"/>
    </bk>
    <bk>
      <rc t="2" v="1257"/>
    </bk>
    <bk>
      <rc t="2" v="1258"/>
    </bk>
    <bk>
      <rc t="2" v="1259"/>
    </bk>
    <bk>
      <rc t="2" v="1260"/>
    </bk>
    <bk>
      <rc t="2" v="1261"/>
    </bk>
    <bk>
      <rc t="2" v="1262"/>
    </bk>
    <bk>
      <rc t="2" v="1263"/>
    </bk>
    <bk>
      <rc t="2" v="1264"/>
    </bk>
    <bk>
      <rc t="2" v="1265"/>
    </bk>
    <bk>
      <rc t="2" v="1266"/>
    </bk>
    <bk>
      <rc t="2" v="1267"/>
    </bk>
    <bk>
      <rc t="2" v="1268"/>
    </bk>
    <bk>
      <rc t="2" v="1269"/>
    </bk>
    <bk>
      <rc t="2" v="1270"/>
    </bk>
    <bk>
      <rc t="2" v="1271"/>
    </bk>
    <bk>
      <rc t="2" v="1272"/>
    </bk>
    <bk>
      <rc t="2" v="1273"/>
    </bk>
    <bk>
      <rc t="2" v="1274"/>
    </bk>
    <bk>
      <rc t="2" v="1275"/>
    </bk>
    <bk>
      <rc t="2" v="1276"/>
    </bk>
    <bk>
      <rc t="2" v="1277"/>
    </bk>
    <bk>
      <rc t="2" v="1278"/>
    </bk>
    <bk>
      <rc t="2" v="1279"/>
    </bk>
    <bk>
      <rc t="2" v="1280"/>
    </bk>
    <bk>
      <rc t="2" v="1281"/>
    </bk>
    <bk>
      <rc t="2" v="1282"/>
    </bk>
    <bk>
      <rc t="2" v="1283"/>
    </bk>
    <bk>
      <rc t="2" v="1284"/>
    </bk>
    <bk>
      <rc t="2" v="1285"/>
    </bk>
    <bk>
      <rc t="2" v="1286"/>
    </bk>
    <bk>
      <rc t="2" v="1287"/>
    </bk>
    <bk>
      <rc t="2" v="1288"/>
    </bk>
    <bk>
      <rc t="2" v="1289"/>
    </bk>
    <bk>
      <rc t="2" v="1290"/>
    </bk>
    <bk>
      <rc t="2" v="1291"/>
    </bk>
    <bk>
      <rc t="2" v="1292"/>
    </bk>
    <bk>
      <rc t="2" v="1293"/>
    </bk>
    <bk>
      <rc t="2" v="1294"/>
    </bk>
    <bk>
      <rc t="2" v="1295"/>
    </bk>
    <bk>
      <rc t="2" v="1296"/>
    </bk>
    <bk>
      <rc t="2" v="1297"/>
    </bk>
    <bk>
      <rc t="2" v="1298"/>
    </bk>
    <bk>
      <rc t="2" v="1299"/>
    </bk>
    <bk>
      <rc t="2" v="1300"/>
    </bk>
    <bk>
      <rc t="2" v="1301"/>
    </bk>
    <bk>
      <rc t="2" v="1302"/>
    </bk>
    <bk>
      <rc t="2" v="1303"/>
    </bk>
    <bk>
      <rc t="2" v="1304"/>
    </bk>
    <bk>
      <rc t="2" v="1305"/>
    </bk>
    <bk>
      <rc t="2" v="1306"/>
    </bk>
    <bk>
      <rc t="2" v="1307"/>
    </bk>
    <bk>
      <rc t="2" v="1308"/>
    </bk>
    <bk>
      <rc t="2" v="1309"/>
    </bk>
    <bk>
      <rc t="2" v="1310"/>
    </bk>
    <bk>
      <rc t="2" v="1311"/>
    </bk>
    <bk>
      <rc t="2" v="1312"/>
    </bk>
    <bk>
      <rc t="2" v="1313"/>
    </bk>
    <bk>
      <rc t="2" v="1314"/>
    </bk>
    <bk>
      <rc t="2" v="1315"/>
    </bk>
    <bk>
      <rc t="2" v="1316"/>
    </bk>
    <bk>
      <rc t="2" v="1317"/>
    </bk>
    <bk>
      <rc t="2" v="1318"/>
    </bk>
    <bk>
      <rc t="2" v="1319"/>
    </bk>
    <bk>
      <rc t="2" v="1320"/>
    </bk>
    <bk>
      <rc t="2" v="1321"/>
    </bk>
    <bk>
      <rc t="2" v="1322"/>
    </bk>
    <bk>
      <rc t="2" v="1323"/>
    </bk>
    <bk>
      <rc t="2" v="1324"/>
    </bk>
    <bk>
      <rc t="2" v="1325"/>
    </bk>
    <bk>
      <rc t="2" v="1326"/>
    </bk>
    <bk>
      <rc t="2" v="1327"/>
    </bk>
    <bk>
      <rc t="2" v="1328"/>
    </bk>
    <bk>
      <rc t="2" v="1329"/>
    </bk>
    <bk>
      <rc t="2" v="1330"/>
    </bk>
    <bk>
      <rc t="2" v="1331"/>
    </bk>
    <bk>
      <rc t="2" v="1332"/>
    </bk>
    <bk>
      <rc t="2" v="1333"/>
    </bk>
    <bk>
      <rc t="2" v="1334"/>
    </bk>
    <bk>
      <rc t="2" v="1335"/>
    </bk>
    <bk>
      <rc t="2" v="1336"/>
    </bk>
    <bk>
      <rc t="2" v="1337"/>
    </bk>
    <bk>
      <rc t="2" v="1338"/>
    </bk>
    <bk>
      <rc t="2" v="1339"/>
    </bk>
    <bk>
      <rc t="2" v="1340"/>
    </bk>
    <bk>
      <rc t="2" v="1341"/>
    </bk>
    <bk>
      <rc t="2" v="1342"/>
    </bk>
    <bk>
      <rc t="2" v="1343"/>
    </bk>
    <bk>
      <rc t="2" v="1344"/>
    </bk>
    <bk>
      <rc t="2" v="1345"/>
    </bk>
    <bk>
      <rc t="2" v="1346"/>
    </bk>
    <bk>
      <rc t="2" v="1347"/>
    </bk>
    <bk>
      <rc t="2" v="1348"/>
    </bk>
    <bk>
      <rc t="2" v="1349"/>
    </bk>
    <bk>
      <rc t="2" v="1350"/>
    </bk>
    <bk>
      <rc t="2" v="1351"/>
    </bk>
    <bk>
      <rc t="2" v="1352"/>
    </bk>
    <bk>
      <rc t="2" v="1353"/>
    </bk>
    <bk>
      <rc t="2" v="1354"/>
    </bk>
    <bk>
      <rc t="2" v="1355"/>
    </bk>
    <bk>
      <rc t="2" v="1356"/>
    </bk>
    <bk>
      <rc t="2" v="1357"/>
    </bk>
    <bk>
      <rc t="2" v="1358"/>
    </bk>
    <bk>
      <rc t="2" v="1359"/>
    </bk>
    <bk>
      <rc t="2" v="1360"/>
    </bk>
    <bk>
      <rc t="2" v="1361"/>
    </bk>
    <bk>
      <rc t="2" v="1362"/>
    </bk>
    <bk>
      <rc t="2" v="1363"/>
    </bk>
    <bk>
      <rc t="2" v="1364"/>
    </bk>
    <bk>
      <rc t="2" v="1365"/>
    </bk>
    <bk>
      <rc t="2" v="1366"/>
    </bk>
    <bk>
      <rc t="2" v="1367"/>
    </bk>
    <bk>
      <rc t="2" v="1368"/>
    </bk>
    <bk>
      <rc t="2" v="1369"/>
    </bk>
    <bk>
      <rc t="2" v="1370"/>
    </bk>
    <bk>
      <rc t="2" v="1371"/>
    </bk>
    <bk>
      <rc t="2" v="1372"/>
    </bk>
    <bk>
      <rc t="2" v="1373"/>
    </bk>
    <bk>
      <rc t="2" v="1374"/>
    </bk>
    <bk>
      <rc t="2" v="1375"/>
    </bk>
    <bk>
      <rc t="2" v="1376"/>
    </bk>
    <bk>
      <rc t="2" v="1377"/>
    </bk>
    <bk>
      <rc t="2" v="1378"/>
    </bk>
    <bk>
      <rc t="2" v="1379"/>
    </bk>
    <bk>
      <rc t="2" v="1380"/>
    </bk>
    <bk>
      <rc t="2" v="1381"/>
    </bk>
    <bk>
      <rc t="2" v="1382"/>
    </bk>
    <bk>
      <rc t="2" v="1383"/>
    </bk>
    <bk>
      <rc t="2" v="1384"/>
    </bk>
    <bk>
      <rc t="2" v="1385"/>
    </bk>
    <bk>
      <rc t="2" v="1386"/>
    </bk>
    <bk>
      <rc t="2" v="1387"/>
    </bk>
    <bk>
      <rc t="2" v="1388"/>
    </bk>
    <bk>
      <rc t="2" v="1389"/>
    </bk>
    <bk>
      <rc t="2" v="1390"/>
    </bk>
    <bk>
      <rc t="2" v="1391"/>
    </bk>
    <bk>
      <rc t="2" v="1392"/>
    </bk>
    <bk>
      <rc t="2" v="1393"/>
    </bk>
    <bk>
      <rc t="2" v="1394"/>
    </bk>
    <bk>
      <rc t="2" v="1395"/>
    </bk>
    <bk>
      <rc t="2" v="1396"/>
    </bk>
    <bk>
      <rc t="2" v="1397"/>
    </bk>
    <bk>
      <rc t="2" v="1398"/>
    </bk>
    <bk>
      <rc t="2" v="1399"/>
    </bk>
    <bk>
      <rc t="2" v="1400"/>
    </bk>
    <bk>
      <rc t="2" v="1401"/>
    </bk>
    <bk>
      <rc t="2" v="1402"/>
    </bk>
    <bk>
      <rc t="2" v="1403"/>
    </bk>
    <bk>
      <rc t="2" v="1404"/>
    </bk>
    <bk>
      <rc t="2" v="1405"/>
    </bk>
    <bk>
      <rc t="2" v="1406"/>
    </bk>
    <bk>
      <rc t="2" v="1407"/>
    </bk>
    <bk>
      <rc t="2" v="1408"/>
    </bk>
    <bk>
      <rc t="2" v="1409"/>
    </bk>
    <bk>
      <rc t="2" v="1410"/>
    </bk>
    <bk>
      <rc t="2" v="1411"/>
    </bk>
    <bk>
      <rc t="2" v="1412"/>
    </bk>
    <bk>
      <rc t="2" v="1413"/>
    </bk>
    <bk>
      <rc t="2" v="1414"/>
    </bk>
    <bk>
      <rc t="2" v="1415"/>
    </bk>
    <bk>
      <rc t="2" v="1416"/>
    </bk>
    <bk>
      <rc t="2" v="1417"/>
    </bk>
    <bk>
      <rc t="2" v="1418"/>
    </bk>
    <bk>
      <rc t="2" v="1419"/>
    </bk>
    <bk>
      <rc t="2" v="1420"/>
    </bk>
    <bk>
      <rc t="2" v="1421"/>
    </bk>
    <bk>
      <rc t="2" v="1422"/>
    </bk>
    <bk>
      <rc t="2" v="1423"/>
    </bk>
    <bk>
      <rc t="2" v="1424"/>
    </bk>
    <bk>
      <rc t="2" v="1425"/>
    </bk>
    <bk>
      <rc t="2" v="1426"/>
    </bk>
    <bk>
      <rc t="2" v="1427"/>
    </bk>
    <bk>
      <rc t="2" v="1428"/>
    </bk>
    <bk>
      <rc t="2" v="1429"/>
    </bk>
    <bk>
      <rc t="2" v="1430"/>
    </bk>
    <bk>
      <rc t="2" v="1431"/>
    </bk>
    <bk>
      <rc t="2" v="1432"/>
    </bk>
    <bk>
      <rc t="2" v="1433"/>
    </bk>
    <bk>
      <rc t="2" v="1434"/>
    </bk>
    <bk>
      <rc t="2" v="1435"/>
    </bk>
    <bk>
      <rc t="2" v="1436"/>
    </bk>
    <bk>
      <rc t="2" v="1437"/>
    </bk>
    <bk>
      <rc t="2" v="1438"/>
    </bk>
    <bk>
      <rc t="2" v="1439"/>
    </bk>
    <bk>
      <rc t="2" v="1440"/>
    </bk>
    <bk>
      <rc t="2" v="1441"/>
    </bk>
    <bk>
      <rc t="2" v="1442"/>
    </bk>
    <bk>
      <rc t="2" v="1443"/>
    </bk>
    <bk>
      <rc t="2" v="1444"/>
    </bk>
    <bk>
      <rc t="2" v="1445"/>
    </bk>
    <bk>
      <rc t="2" v="1446"/>
    </bk>
    <bk>
      <rc t="2" v="1447"/>
    </bk>
    <bk>
      <rc t="2" v="1448"/>
    </bk>
    <bk>
      <rc t="2" v="1449"/>
    </bk>
    <bk>
      <rc t="2" v="1450"/>
    </bk>
    <bk>
      <rc t="2" v="1451"/>
    </bk>
    <bk>
      <rc t="2" v="1452"/>
    </bk>
    <bk>
      <rc t="2" v="1453"/>
    </bk>
    <bk>
      <rc t="2" v="1454"/>
    </bk>
    <bk>
      <rc t="2" v="1455"/>
    </bk>
    <bk>
      <rc t="2" v="1456"/>
    </bk>
    <bk>
      <rc t="2" v="1457"/>
    </bk>
    <bk>
      <rc t="2" v="1458"/>
    </bk>
    <bk>
      <rc t="2" v="1459"/>
    </bk>
    <bk>
      <rc t="2" v="1460"/>
    </bk>
    <bk>
      <rc t="2" v="1461"/>
    </bk>
    <bk>
      <rc t="2" v="1462"/>
    </bk>
    <bk>
      <rc t="2" v="1463"/>
    </bk>
    <bk>
      <rc t="2" v="1464"/>
    </bk>
    <bk>
      <rc t="2" v="1465"/>
    </bk>
    <bk>
      <rc t="2" v="1466"/>
    </bk>
    <bk>
      <rc t="2" v="1467"/>
    </bk>
    <bk>
      <rc t="2" v="1468"/>
    </bk>
    <bk>
      <rc t="2" v="1469"/>
    </bk>
    <bk>
      <rc t="2" v="1470"/>
    </bk>
    <bk>
      <rc t="2" v="1471"/>
    </bk>
    <bk>
      <rc t="2" v="1472"/>
    </bk>
    <bk>
      <rc t="2" v="1473"/>
    </bk>
    <bk>
      <rc t="2" v="1474"/>
    </bk>
    <bk>
      <rc t="2" v="1475"/>
    </bk>
    <bk>
      <rc t="2" v="1476"/>
    </bk>
    <bk>
      <rc t="2" v="1477"/>
    </bk>
    <bk>
      <rc t="2" v="1478"/>
    </bk>
    <bk>
      <rc t="2" v="1479"/>
    </bk>
    <bk>
      <rc t="2" v="1480"/>
    </bk>
    <bk>
      <rc t="2" v="1481"/>
    </bk>
    <bk>
      <rc t="2" v="1482"/>
    </bk>
    <bk>
      <rc t="2" v="1483"/>
    </bk>
    <bk>
      <rc t="2" v="1484"/>
    </bk>
    <bk>
      <rc t="2" v="1485"/>
    </bk>
    <bk>
      <rc t="2" v="1486"/>
    </bk>
    <bk>
      <rc t="2" v="1487"/>
    </bk>
    <bk>
      <rc t="2" v="1488"/>
    </bk>
    <bk>
      <rc t="2" v="1489"/>
    </bk>
    <bk>
      <rc t="2" v="1490"/>
    </bk>
    <bk>
      <rc t="2" v="1491"/>
    </bk>
    <bk>
      <rc t="2" v="1492"/>
    </bk>
    <bk>
      <rc t="2" v="1493"/>
    </bk>
    <bk>
      <rc t="2" v="1494"/>
    </bk>
    <bk>
      <rc t="2" v="1495"/>
    </bk>
    <bk>
      <rc t="2" v="1496"/>
    </bk>
    <bk>
      <rc t="2" v="1497"/>
    </bk>
    <bk>
      <rc t="2" v="1498"/>
    </bk>
    <bk>
      <rc t="2" v="1499"/>
    </bk>
    <bk>
      <rc t="2" v="1500"/>
    </bk>
    <bk>
      <rc t="2" v="1501"/>
    </bk>
    <bk>
      <rc t="2" v="1502"/>
    </bk>
    <bk>
      <rc t="2" v="1503"/>
    </bk>
    <bk>
      <rc t="2" v="1504"/>
    </bk>
    <bk>
      <rc t="2" v="1505"/>
    </bk>
    <bk>
      <rc t="2" v="1506"/>
    </bk>
    <bk>
      <rc t="2" v="1507"/>
    </bk>
    <bk>
      <rc t="2" v="1508"/>
    </bk>
    <bk>
      <rc t="2" v="1509"/>
    </bk>
    <bk>
      <rc t="2" v="1510"/>
    </bk>
    <bk>
      <rc t="2" v="1511"/>
    </bk>
    <bk>
      <rc t="2" v="1512"/>
    </bk>
    <bk>
      <rc t="2" v="1513"/>
    </bk>
    <bk>
      <rc t="2" v="1514"/>
    </bk>
    <bk>
      <rc t="2" v="1515"/>
    </bk>
    <bk>
      <rc t="2" v="1516"/>
    </bk>
    <bk>
      <rc t="2" v="1517"/>
    </bk>
    <bk>
      <rc t="2" v="1518"/>
    </bk>
    <bk>
      <rc t="2" v="1519"/>
    </bk>
    <bk>
      <rc t="2" v="1520"/>
    </bk>
    <bk>
      <rc t="2" v="1521"/>
    </bk>
    <bk>
      <rc t="2" v="1522"/>
    </bk>
    <bk>
      <rc t="2" v="1523"/>
    </bk>
    <bk>
      <rc t="2" v="1524"/>
    </bk>
    <bk>
      <rc t="2" v="1525"/>
    </bk>
    <bk>
      <rc t="2" v="1526"/>
    </bk>
    <bk>
      <rc t="2" v="1527"/>
    </bk>
    <bk>
      <rc t="2" v="1528"/>
    </bk>
    <bk>
      <rc t="2" v="1529"/>
    </bk>
    <bk>
      <rc t="2" v="1530"/>
    </bk>
    <bk>
      <rc t="2" v="1531"/>
    </bk>
    <bk>
      <rc t="2" v="1532"/>
    </bk>
    <bk>
      <rc t="2" v="1533"/>
    </bk>
    <bk>
      <rc t="2" v="1534"/>
    </bk>
    <bk>
      <rc t="2" v="1535"/>
    </bk>
    <bk>
      <rc t="2" v="1536"/>
    </bk>
    <bk>
      <rc t="2" v="1537"/>
    </bk>
    <bk>
      <rc t="2" v="1538"/>
    </bk>
    <bk>
      <rc t="2" v="1539"/>
    </bk>
    <bk>
      <rc t="2" v="1540"/>
    </bk>
    <bk>
      <rc t="2" v="1541"/>
    </bk>
    <bk>
      <rc t="2" v="1542"/>
    </bk>
    <bk>
      <rc t="2" v="1543"/>
    </bk>
    <bk>
      <rc t="2" v="1544"/>
    </bk>
    <bk>
      <rc t="2" v="1545"/>
    </bk>
    <bk>
      <rc t="2" v="1546"/>
    </bk>
    <bk>
      <rc t="2" v="1547"/>
    </bk>
    <bk>
      <rc t="2" v="1548"/>
    </bk>
    <bk>
      <rc t="2" v="1549"/>
    </bk>
    <bk>
      <rc t="2" v="1550"/>
    </bk>
    <bk>
      <rc t="2" v="1551"/>
    </bk>
    <bk>
      <rc t="2" v="1552"/>
    </bk>
    <bk>
      <rc t="2" v="1553"/>
    </bk>
    <bk>
      <rc t="2" v="1554"/>
    </bk>
    <bk>
      <rc t="2" v="1555"/>
    </bk>
    <bk>
      <rc t="2" v="1556"/>
    </bk>
    <bk>
      <rc t="2" v="1557"/>
    </bk>
    <bk>
      <rc t="2" v="1558"/>
    </bk>
    <bk>
      <rc t="2" v="1559"/>
    </bk>
    <bk>
      <rc t="2" v="1560"/>
    </bk>
    <bk>
      <rc t="2" v="1561"/>
    </bk>
    <bk>
      <rc t="2" v="1562"/>
    </bk>
    <bk>
      <rc t="2" v="1563"/>
    </bk>
    <bk>
      <rc t="2" v="1564"/>
    </bk>
    <bk>
      <rc t="2" v="1565"/>
    </bk>
    <bk>
      <rc t="2" v="1566"/>
    </bk>
    <bk>
      <rc t="2" v="1567"/>
    </bk>
    <bk>
      <rc t="2" v="1568"/>
    </bk>
    <bk>
      <rc t="2" v="1569"/>
    </bk>
    <bk>
      <rc t="2" v="1570"/>
    </bk>
    <bk>
      <rc t="2" v="1571"/>
    </bk>
    <bk>
      <rc t="2" v="1572"/>
    </bk>
    <bk>
      <rc t="2" v="1573"/>
    </bk>
    <bk>
      <rc t="2" v="1574"/>
    </bk>
    <bk>
      <rc t="2" v="1575"/>
    </bk>
    <bk>
      <rc t="2" v="1576"/>
    </bk>
    <bk>
      <rc t="2" v="1577"/>
    </bk>
    <bk>
      <rc t="2" v="1578"/>
    </bk>
    <bk>
      <rc t="2" v="1579"/>
    </bk>
    <bk>
      <rc t="2" v="1580"/>
    </bk>
    <bk>
      <rc t="2" v="1581"/>
    </bk>
    <bk>
      <rc t="2" v="1582"/>
    </bk>
    <bk>
      <rc t="2" v="1583"/>
    </bk>
    <bk>
      <rc t="2" v="1584"/>
    </bk>
    <bk>
      <rc t="2" v="1585"/>
    </bk>
    <bk>
      <rc t="2" v="1586"/>
    </bk>
    <bk>
      <rc t="2" v="1587"/>
    </bk>
    <bk>
      <rc t="2" v="1588"/>
    </bk>
    <bk>
      <rc t="2" v="1589"/>
    </bk>
    <bk>
      <rc t="2" v="1590"/>
    </bk>
    <bk>
      <rc t="2" v="1591"/>
    </bk>
    <bk>
      <rc t="2" v="1592"/>
    </bk>
    <bk>
      <rc t="2" v="1593"/>
    </bk>
    <bk>
      <rc t="2" v="1594"/>
    </bk>
    <bk>
      <rc t="2" v="1595"/>
    </bk>
    <bk>
      <rc t="2" v="1596"/>
    </bk>
    <bk>
      <rc t="2" v="1597"/>
    </bk>
    <bk>
      <rc t="2" v="1598"/>
    </bk>
    <bk>
      <rc t="2" v="1599"/>
    </bk>
    <bk>
      <rc t="2" v="1600"/>
    </bk>
    <bk>
      <rc t="2" v="1601"/>
    </bk>
    <bk>
      <rc t="2" v="1602"/>
    </bk>
    <bk>
      <rc t="2" v="1603"/>
    </bk>
    <bk>
      <rc t="2" v="1604"/>
    </bk>
    <bk>
      <rc t="2" v="1605"/>
    </bk>
    <bk>
      <rc t="2" v="1606"/>
    </bk>
    <bk>
      <rc t="2" v="1607"/>
    </bk>
    <bk>
      <rc t="2" v="1608"/>
    </bk>
    <bk>
      <rc t="2" v="1609"/>
    </bk>
    <bk>
      <rc t="2" v="1610"/>
    </bk>
    <bk>
      <rc t="2" v="1611"/>
    </bk>
    <bk>
      <rc t="2" v="1612"/>
    </bk>
    <bk>
      <rc t="2" v="1613"/>
    </bk>
    <bk>
      <rc t="2" v="1614"/>
    </bk>
    <bk>
      <rc t="2" v="1615"/>
    </bk>
    <bk>
      <rc t="2" v="1616"/>
    </bk>
    <bk>
      <rc t="2" v="1617"/>
    </bk>
    <bk>
      <rc t="2" v="1618"/>
    </bk>
    <bk>
      <rc t="2" v="1619"/>
    </bk>
    <bk>
      <rc t="2" v="1620"/>
    </bk>
    <bk>
      <rc t="2" v="1621"/>
    </bk>
    <bk>
      <rc t="2" v="1622"/>
    </bk>
    <bk>
      <rc t="2" v="1623"/>
    </bk>
    <bk>
      <rc t="2" v="1624"/>
    </bk>
    <bk>
      <rc t="2" v="1625"/>
    </bk>
    <bk>
      <rc t="2" v="1626"/>
    </bk>
    <bk>
      <rc t="2" v="1627"/>
    </bk>
    <bk>
      <rc t="2" v="1628"/>
    </bk>
    <bk>
      <rc t="2" v="1629"/>
    </bk>
    <bk>
      <rc t="2" v="1630"/>
    </bk>
    <bk>
      <rc t="2" v="1631"/>
    </bk>
    <bk>
      <rc t="2" v="1632"/>
    </bk>
    <bk>
      <rc t="2" v="1633"/>
    </bk>
    <bk>
      <rc t="2" v="1634"/>
    </bk>
    <bk>
      <rc t="2" v="1635"/>
    </bk>
    <bk>
      <rc t="2" v="1636"/>
    </bk>
    <bk>
      <rc t="2" v="1637"/>
    </bk>
    <bk>
      <rc t="2" v="1638"/>
    </bk>
    <bk>
      <rc t="2" v="1639"/>
    </bk>
    <bk>
      <rc t="2" v="1640"/>
    </bk>
    <bk>
      <rc t="2" v="1641"/>
    </bk>
    <bk>
      <rc t="2" v="1642"/>
    </bk>
    <bk>
      <rc t="2" v="1643"/>
    </bk>
    <bk>
      <rc t="2" v="1644"/>
    </bk>
    <bk>
      <rc t="2" v="1645"/>
    </bk>
    <bk>
      <rc t="2" v="1646"/>
    </bk>
    <bk>
      <rc t="2" v="1647"/>
    </bk>
    <bk>
      <rc t="2" v="1648"/>
    </bk>
    <bk>
      <rc t="2" v="1649"/>
    </bk>
    <bk>
      <rc t="2" v="1650"/>
    </bk>
    <bk>
      <rc t="2" v="1651"/>
    </bk>
    <bk>
      <rc t="2" v="1652"/>
    </bk>
    <bk>
      <rc t="2" v="1653"/>
    </bk>
    <bk>
      <rc t="2" v="1654"/>
    </bk>
    <bk>
      <rc t="2" v="1655"/>
    </bk>
    <bk>
      <rc t="2" v="1656"/>
    </bk>
    <bk>
      <rc t="2" v="1657"/>
    </bk>
    <bk>
      <rc t="2" v="1658"/>
    </bk>
    <bk>
      <rc t="2" v="1659"/>
    </bk>
    <bk>
      <rc t="2" v="1660"/>
    </bk>
    <bk>
      <rc t="2" v="1661"/>
    </bk>
    <bk>
      <rc t="2" v="1662"/>
    </bk>
    <bk>
      <rc t="2" v="1663"/>
    </bk>
    <bk>
      <rc t="2" v="1664"/>
    </bk>
    <bk>
      <rc t="2" v="1665"/>
    </bk>
    <bk>
      <rc t="2" v="1666"/>
    </bk>
    <bk>
      <rc t="2" v="1667"/>
    </bk>
    <bk>
      <rc t="2" v="1668"/>
    </bk>
    <bk>
      <rc t="2" v="1669"/>
    </bk>
    <bk>
      <rc t="2" v="1670"/>
    </bk>
    <bk>
      <rc t="2" v="1671"/>
    </bk>
    <bk>
      <rc t="2" v="1672"/>
    </bk>
    <bk>
      <rc t="2" v="1673"/>
    </bk>
    <bk>
      <rc t="2" v="1674"/>
    </bk>
    <bk>
      <rc t="2" v="1675"/>
    </bk>
    <bk>
      <rc t="2" v="1676"/>
    </bk>
    <bk>
      <rc t="2" v="1677"/>
    </bk>
    <bk>
      <rc t="2" v="1678"/>
    </bk>
    <bk>
      <rc t="2" v="1679"/>
    </bk>
    <bk>
      <rc t="2" v="1680"/>
    </bk>
    <bk>
      <rc t="2" v="1681"/>
    </bk>
    <bk>
      <rc t="2" v="1682"/>
    </bk>
    <bk>
      <rc t="2" v="1683"/>
    </bk>
    <bk>
      <rc t="2" v="1684"/>
    </bk>
    <bk>
      <rc t="2" v="1685"/>
    </bk>
    <bk>
      <rc t="2" v="1686"/>
    </bk>
    <bk>
      <rc t="2" v="1687"/>
    </bk>
    <bk>
      <rc t="2" v="1688"/>
    </bk>
    <bk>
      <rc t="2" v="1689"/>
    </bk>
    <bk>
      <rc t="2" v="1690"/>
    </bk>
    <bk>
      <rc t="2" v="1691"/>
    </bk>
    <bk>
      <rc t="2" v="1692"/>
    </bk>
    <bk>
      <rc t="2" v="1693"/>
    </bk>
    <bk>
      <rc t="2" v="1694"/>
    </bk>
    <bk>
      <rc t="2" v="1695"/>
    </bk>
    <bk>
      <rc t="2" v="1696"/>
    </bk>
    <bk>
      <rc t="2" v="1697"/>
    </bk>
    <bk>
      <rc t="2" v="1698"/>
    </bk>
    <bk>
      <rc t="2" v="1699"/>
    </bk>
    <bk>
      <rc t="2" v="1700"/>
    </bk>
    <bk>
      <rc t="2" v="1701"/>
    </bk>
    <bk>
      <rc t="2" v="1702"/>
    </bk>
    <bk>
      <rc t="2" v="1703"/>
    </bk>
    <bk>
      <rc t="2" v="1704"/>
    </bk>
    <bk>
      <rc t="2" v="1705"/>
    </bk>
    <bk>
      <rc t="2" v="1706"/>
    </bk>
    <bk>
      <rc t="2" v="1707"/>
    </bk>
    <bk>
      <rc t="2" v="1708"/>
    </bk>
    <bk>
      <rc t="2" v="1709"/>
    </bk>
    <bk>
      <rc t="2" v="1710"/>
    </bk>
    <bk>
      <rc t="2" v="1711"/>
    </bk>
    <bk>
      <rc t="2" v="1712"/>
    </bk>
    <bk>
      <rc t="2" v="1713"/>
    </bk>
    <bk>
      <rc t="2" v="1714"/>
    </bk>
    <bk>
      <rc t="2" v="1715"/>
    </bk>
    <bk>
      <rc t="2" v="1716"/>
    </bk>
    <bk>
      <rc t="2" v="1717"/>
    </bk>
    <bk>
      <rc t="2" v="1718"/>
    </bk>
    <bk>
      <rc t="2" v="1719"/>
    </bk>
    <bk>
      <rc t="2" v="1720"/>
    </bk>
    <bk>
      <rc t="2" v="1721"/>
    </bk>
    <bk>
      <rc t="2" v="1722"/>
    </bk>
    <bk>
      <rc t="2" v="1723"/>
    </bk>
    <bk>
      <rc t="2" v="1724"/>
    </bk>
    <bk>
      <rc t="2" v="1725"/>
    </bk>
    <bk>
      <rc t="2" v="1726"/>
    </bk>
    <bk>
      <rc t="2" v="1727"/>
    </bk>
    <bk>
      <rc t="2" v="1728"/>
    </bk>
    <bk>
      <rc t="2" v="1729"/>
    </bk>
    <bk>
      <rc t="2" v="1730"/>
    </bk>
    <bk>
      <rc t="2" v="1731"/>
    </bk>
    <bk>
      <rc t="2" v="1732"/>
    </bk>
    <bk>
      <rc t="2" v="1733"/>
    </bk>
    <bk>
      <rc t="2" v="1734"/>
    </bk>
    <bk>
      <rc t="2" v="1735"/>
    </bk>
    <bk>
      <rc t="2" v="1736"/>
    </bk>
    <bk>
      <rc t="2" v="1737"/>
    </bk>
    <bk>
      <rc t="2" v="1738"/>
    </bk>
    <bk>
      <rc t="2" v="1739"/>
    </bk>
    <bk>
      <rc t="2" v="1740"/>
    </bk>
    <bk>
      <rc t="2" v="1741"/>
    </bk>
    <bk>
      <rc t="2" v="1742"/>
    </bk>
    <bk>
      <rc t="2" v="1743"/>
    </bk>
    <bk>
      <rc t="2" v="1744"/>
    </bk>
    <bk>
      <rc t="2" v="1745"/>
    </bk>
    <bk>
      <rc t="2" v="1746"/>
    </bk>
    <bk>
      <rc t="2" v="1747"/>
    </bk>
    <bk>
      <rc t="2" v="1748"/>
    </bk>
    <bk>
      <rc t="2" v="1749"/>
    </bk>
    <bk>
      <rc t="2" v="1750"/>
    </bk>
    <bk>
      <rc t="2" v="1751"/>
    </bk>
    <bk>
      <rc t="2" v="1752"/>
    </bk>
    <bk>
      <rc t="2" v="1753"/>
    </bk>
    <bk>
      <rc t="2" v="1754"/>
    </bk>
    <bk>
      <rc t="2" v="1755"/>
    </bk>
    <bk>
      <rc t="2" v="1756"/>
    </bk>
    <bk>
      <rc t="2" v="1757"/>
    </bk>
    <bk>
      <rc t="2" v="1758"/>
    </bk>
    <bk>
      <rc t="2" v="1759"/>
    </bk>
    <bk>
      <rc t="2" v="1760"/>
    </bk>
    <bk>
      <rc t="2" v="1761"/>
    </bk>
    <bk>
      <rc t="2" v="1762"/>
    </bk>
    <bk>
      <rc t="2" v="1763"/>
    </bk>
    <bk>
      <rc t="2" v="1764"/>
    </bk>
    <bk>
      <rc t="2" v="1765"/>
    </bk>
    <bk>
      <rc t="2" v="1766"/>
    </bk>
    <bk>
      <rc t="2" v="1767"/>
    </bk>
    <bk>
      <rc t="2" v="1768"/>
    </bk>
    <bk>
      <rc t="2" v="1769"/>
    </bk>
    <bk>
      <rc t="2" v="1770"/>
    </bk>
    <bk>
      <rc t="2" v="1771"/>
    </bk>
    <bk>
      <rc t="2" v="1772"/>
    </bk>
    <bk>
      <rc t="2" v="1773"/>
    </bk>
    <bk>
      <rc t="2" v="1774"/>
    </bk>
    <bk>
      <rc t="2" v="1775"/>
    </bk>
    <bk>
      <rc t="2" v="1776"/>
    </bk>
    <bk>
      <rc t="2" v="1777"/>
    </bk>
    <bk>
      <rc t="2" v="1778"/>
    </bk>
    <bk>
      <rc t="2" v="1779"/>
    </bk>
    <bk>
      <rc t="2" v="1780"/>
    </bk>
    <bk>
      <rc t="2" v="1781"/>
    </bk>
    <bk>
      <rc t="2" v="1782"/>
    </bk>
    <bk>
      <rc t="2" v="1783"/>
    </bk>
    <bk>
      <rc t="2" v="1784"/>
    </bk>
    <bk>
      <rc t="2" v="1785"/>
    </bk>
    <bk>
      <rc t="2" v="1786"/>
    </bk>
    <bk>
      <rc t="2" v="1787"/>
    </bk>
    <bk>
      <rc t="2" v="1788"/>
    </bk>
    <bk>
      <rc t="2" v="1789"/>
    </bk>
    <bk>
      <rc t="2" v="1790"/>
    </bk>
    <bk>
      <rc t="2" v="1791"/>
    </bk>
    <bk>
      <rc t="2" v="1792"/>
    </bk>
    <bk>
      <rc t="2" v="1793"/>
    </bk>
    <bk>
      <rc t="2" v="1794"/>
    </bk>
    <bk>
      <rc t="2" v="1795"/>
    </bk>
    <bk>
      <rc t="2" v="1796"/>
    </bk>
    <bk>
      <rc t="2" v="1797"/>
    </bk>
    <bk>
      <rc t="2" v="1798"/>
    </bk>
    <bk>
      <rc t="2" v="1799"/>
    </bk>
    <bk>
      <rc t="2" v="1800"/>
    </bk>
    <bk>
      <rc t="2" v="1801"/>
    </bk>
    <bk>
      <rc t="2" v="1802"/>
    </bk>
    <bk>
      <rc t="2" v="1803"/>
    </bk>
    <bk>
      <rc t="2" v="1804"/>
    </bk>
    <bk>
      <rc t="2" v="1805"/>
    </bk>
    <bk>
      <rc t="2" v="1806"/>
    </bk>
    <bk>
      <rc t="2" v="1807"/>
    </bk>
    <bk>
      <rc t="2" v="1808"/>
    </bk>
    <bk>
      <rc t="2" v="1809"/>
    </bk>
    <bk>
      <rc t="2" v="1810"/>
    </bk>
    <bk>
      <rc t="2" v="1811"/>
    </bk>
    <bk>
      <rc t="2" v="1812"/>
    </bk>
    <bk>
      <rc t="2" v="1813"/>
    </bk>
    <bk>
      <rc t="2" v="1814"/>
    </bk>
    <bk>
      <rc t="2" v="1815"/>
    </bk>
    <bk>
      <rc t="2" v="1816"/>
    </bk>
    <bk>
      <rc t="2" v="1817"/>
    </bk>
    <bk>
      <rc t="2" v="1818"/>
    </bk>
    <bk>
      <rc t="2" v="1819"/>
    </bk>
    <bk>
      <rc t="2" v="1820"/>
    </bk>
    <bk>
      <rc t="2" v="1821"/>
    </bk>
    <bk>
      <rc t="2" v="1822"/>
    </bk>
    <bk>
      <rc t="2" v="1823"/>
    </bk>
    <bk>
      <rc t="2" v="1824"/>
    </bk>
    <bk>
      <rc t="2" v="1825"/>
    </bk>
    <bk>
      <rc t="2" v="1826"/>
    </bk>
    <bk>
      <rc t="2" v="1827"/>
    </bk>
    <bk>
      <rc t="2" v="1828"/>
    </bk>
    <bk>
      <rc t="2" v="1829"/>
    </bk>
    <bk>
      <rc t="2" v="1830"/>
    </bk>
    <bk>
      <rc t="2" v="1831"/>
    </bk>
    <bk>
      <rc t="2" v="1832"/>
    </bk>
    <bk>
      <rc t="2" v="1833"/>
    </bk>
    <bk>
      <rc t="2" v="1834"/>
    </bk>
    <bk>
      <rc t="2" v="1835"/>
    </bk>
    <bk>
      <rc t="2" v="1836"/>
    </bk>
    <bk>
      <rc t="2" v="1837"/>
    </bk>
    <bk>
      <rc t="2" v="1838"/>
    </bk>
    <bk>
      <rc t="2" v="1839"/>
    </bk>
    <bk>
      <rc t="2" v="1840"/>
    </bk>
    <bk>
      <rc t="2" v="1841"/>
    </bk>
    <bk>
      <rc t="2" v="1842"/>
    </bk>
    <bk>
      <rc t="2" v="1843"/>
    </bk>
    <bk>
      <rc t="2" v="1844"/>
    </bk>
    <bk>
      <rc t="2" v="1845"/>
    </bk>
    <bk>
      <rc t="2" v="1846"/>
    </bk>
    <bk>
      <rc t="2" v="1847"/>
    </bk>
    <bk>
      <rc t="2" v="1848"/>
    </bk>
    <bk>
      <rc t="2" v="1849"/>
    </bk>
    <bk>
      <rc t="2" v="1850"/>
    </bk>
    <bk>
      <rc t="2" v="1851"/>
    </bk>
    <bk>
      <rc t="2" v="1852"/>
    </bk>
    <bk>
      <rc t="2" v="1853"/>
    </bk>
    <bk>
      <rc t="2" v="1854"/>
    </bk>
    <bk>
      <rc t="2" v="1855"/>
    </bk>
    <bk>
      <rc t="2" v="1856"/>
    </bk>
    <bk>
      <rc t="2" v="1857"/>
    </bk>
    <bk>
      <rc t="2" v="1858"/>
    </bk>
    <bk>
      <rc t="2" v="1859"/>
    </bk>
    <bk>
      <rc t="2" v="1860"/>
    </bk>
    <bk>
      <rc t="2" v="1861"/>
    </bk>
    <bk>
      <rc t="2" v="1862"/>
    </bk>
    <bk>
      <rc t="2" v="1863"/>
    </bk>
    <bk>
      <rc t="2" v="1864"/>
    </bk>
    <bk>
      <rc t="2" v="1865"/>
    </bk>
    <bk>
      <rc t="2" v="1866"/>
    </bk>
    <bk>
      <rc t="2" v="1867"/>
    </bk>
    <bk>
      <rc t="2" v="1868"/>
    </bk>
    <bk>
      <rc t="2" v="1869"/>
    </bk>
    <bk>
      <rc t="2" v="1870"/>
    </bk>
    <bk>
      <rc t="2" v="1871"/>
    </bk>
    <bk>
      <rc t="2" v="1872"/>
    </bk>
    <bk>
      <rc t="2" v="1873"/>
    </bk>
    <bk>
      <rc t="2" v="1874"/>
    </bk>
    <bk>
      <rc t="2" v="1875"/>
    </bk>
    <bk>
      <rc t="2" v="1876"/>
    </bk>
    <bk>
      <rc t="2" v="1877"/>
    </bk>
    <bk>
      <rc t="2" v="1878"/>
    </bk>
    <bk>
      <rc t="2" v="1879"/>
    </bk>
    <bk>
      <rc t="2" v="1880"/>
    </bk>
    <bk>
      <rc t="2" v="1881"/>
    </bk>
    <bk>
      <rc t="2" v="1882"/>
    </bk>
    <bk>
      <rc t="2" v="1883"/>
    </bk>
    <bk>
      <rc t="2" v="1884"/>
    </bk>
    <bk>
      <rc t="2" v="1885"/>
    </bk>
    <bk>
      <rc t="2" v="1886"/>
    </bk>
    <bk>
      <rc t="2" v="1887"/>
    </bk>
    <bk>
      <rc t="2" v="1888"/>
    </bk>
    <bk>
      <rc t="2" v="1889"/>
    </bk>
    <bk>
      <rc t="2" v="1890"/>
    </bk>
    <bk>
      <rc t="2" v="1891"/>
    </bk>
    <bk>
      <rc t="2" v="1892"/>
    </bk>
    <bk>
      <rc t="2" v="1893"/>
    </bk>
    <bk>
      <rc t="2" v="1894"/>
    </bk>
    <bk>
      <rc t="2" v="1895"/>
    </bk>
    <bk>
      <rc t="2" v="1896"/>
    </bk>
    <bk>
      <rc t="2" v="1897"/>
    </bk>
    <bk>
      <rc t="2" v="1898"/>
    </bk>
    <bk>
      <rc t="2" v="1899"/>
    </bk>
    <bk>
      <rc t="2" v="1900"/>
    </bk>
    <bk>
      <rc t="2" v="1901"/>
    </bk>
    <bk>
      <rc t="2" v="1902"/>
    </bk>
    <bk>
      <rc t="2" v="1903"/>
    </bk>
    <bk>
      <rc t="2" v="1904"/>
    </bk>
    <bk>
      <rc t="2" v="1905"/>
    </bk>
    <bk>
      <rc t="2" v="1906"/>
    </bk>
    <bk>
      <rc t="2" v="1907"/>
    </bk>
    <bk>
      <rc t="2" v="1908"/>
    </bk>
    <bk>
      <rc t="2" v="1909"/>
    </bk>
    <bk>
      <rc t="2" v="1910"/>
    </bk>
    <bk>
      <rc t="2" v="1911"/>
    </bk>
    <bk>
      <rc t="2" v="1912"/>
    </bk>
    <bk>
      <rc t="2" v="1913"/>
    </bk>
    <bk>
      <rc t="2" v="1914"/>
    </bk>
    <bk>
      <rc t="2" v="1915"/>
    </bk>
    <bk>
      <rc t="2" v="1916"/>
    </bk>
    <bk>
      <rc t="2" v="1917"/>
    </bk>
    <bk>
      <rc t="2" v="1918"/>
    </bk>
    <bk>
      <rc t="2" v="1919"/>
    </bk>
    <bk>
      <rc t="2" v="1920"/>
    </bk>
    <bk>
      <rc t="2" v="1921"/>
    </bk>
    <bk>
      <rc t="2" v="1922"/>
    </bk>
    <bk>
      <rc t="2" v="1923"/>
    </bk>
    <bk>
      <rc t="2" v="1924"/>
    </bk>
  </valueMetadata>
</metadata>
</file>

<file path=xl/sharedStrings.xml><?xml version="1.0" encoding="utf-8"?>
<sst xmlns="http://schemas.openxmlformats.org/spreadsheetml/2006/main" count="69" uniqueCount="27">
  <si>
    <t>Date</t>
  </si>
  <si>
    <t>Stock</t>
  </si>
  <si>
    <t>Transaction</t>
  </si>
  <si>
    <t>Units</t>
  </si>
  <si>
    <t>Price</t>
  </si>
  <si>
    <t>Currency</t>
  </si>
  <si>
    <t>Transaction Amount</t>
  </si>
  <si>
    <t>BUY</t>
  </si>
  <si>
    <t>SELL</t>
  </si>
  <si>
    <t>EUR</t>
  </si>
  <si>
    <t>USD</t>
  </si>
  <si>
    <t>Ticker</t>
  </si>
  <si>
    <t>Current Holdings</t>
  </si>
  <si>
    <t>Stock (Exchange:Ticker)</t>
  </si>
  <si>
    <t>Industry</t>
  </si>
  <si>
    <t>Current Price</t>
  </si>
  <si>
    <t>Market Value</t>
  </si>
  <si>
    <t>Gain/(Loss)</t>
  </si>
  <si>
    <t>Last 12 Month</t>
  </si>
  <si>
    <t xml:space="preserve"> </t>
  </si>
  <si>
    <t>Change</t>
  </si>
  <si>
    <t xml:space="preserve">        Today's</t>
  </si>
  <si>
    <t>Total Holding Market Value</t>
  </si>
  <si>
    <t>FX Rate</t>
  </si>
  <si>
    <t>Currencu</t>
  </si>
  <si>
    <t xml:space="preserve">
Today's
</t>
  </si>
  <si>
    <t>Portfolio by Industry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</si>
</sst>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8" formatCode="#,##0.00\ &quot;€&quot;_);[Red]\(#,##0.00\ &quot;€&quot;\)"/>
    <numFmt numFmtId="44" formatCode="_ * #,##0.00_)\ &quot;€&quot;_ ;_ * \(#,##0.00\)\ &quot;€&quot;_ ;_ * &quot;-&quot;??_)\ &quot;€&quot;_ ;_ @_ "/>
    <numFmt numFmtId="164" formatCode="_([$$-409]* #,##0.00_);_([$$-409]* \(#,##0.00\);_([$$-409]* &quot;-&quot;??_);_(@_)"/>
    <numFmt numFmtId="165" formatCode="_-* #,##0.00\ [$€-40C]_-;\-* #,##0.00\ [$€-40C]_-;_-* &quot;-&quot;??\ [$€-40C]_-;_-@_-"/>
  </numFmts>
  <fonts count="8" x14ac:knownFonts="1">
    <font>
      <sz val="12"/>
      <color theme="1"/>
      <name val="Aptos Narrow"/>
      <family val="2"/>
      <scheme val="minor"/>
    </font>
    <font>
      <sz val="36"/>
      <color theme="0"/>
      <name val="Arial"/>
      <family val="2"/>
    </font>
    <font>
      <sz val="12"/>
      <color theme="1"/>
      <name val="Aptos Narrow"/>
      <family val="2"/>
      <scheme val="minor"/>
    </font>
    <font>
      <sz val="12"/>
      <color rgb="FFFF0000"/>
      <name val="Aptos Narrow"/>
      <family val="2"/>
      <scheme val="minor"/>
    </font>
    <font>
      <sz val="12"/>
      <color theme="0"/>
      <name val="Aptos Narrow"/>
      <family val="2"/>
      <scheme val="minor"/>
    </font>
    <font>
      <sz val="12"/>
      <color theme="0"/>
      <name val="Aptos Narrow (Corps)"/>
    </font>
    <font>
      <b/>
      <sz val="12"/>
      <color theme="0"/>
      <name val="Aptos Narrow (Corps)"/>
    </font>
    <font>
      <b/>
      <sz val="12"/>
      <color theme="0"/>
      <name val="Aptos Narrow"/>
      <scheme val="minor"/>
    </font>
  </fonts>
  <fills count="6">
    <fill>
      <patternFill patternType="none"/>
    </fill>
    <fill>
      <patternFill patternType="gray125"/>
    </fill>
    <fill>
      <patternFill patternType="solid">
        <fgColor theme="3" tint="0.249977111117893"/>
        <bgColor indexed="64"/>
      </patternFill>
    </fill>
    <fill>
      <patternFill patternType="solid">
        <fgColor theme="3" tint="0.499984740745262"/>
        <bgColor indexed="64"/>
      </patternFill>
    </fill>
    <fill>
      <patternFill patternType="solid">
        <fgColor rgb="FF63A4F7"/>
        <bgColor indexed="64"/>
      </patternFill>
    </fill>
    <fill>
      <patternFill patternType="solid">
        <fgColor rgb="FF4C93D9"/>
        <bgColor indexed="64"/>
      </patternFill>
    </fill>
  </fills>
  <borders count="6">
    <border>
      <left/>
      <right/>
      <top/>
      <bottom/>
      <diagonal/>
    </border>
    <border>
      <left/>
      <right/>
      <top/>
      <bottom style="thin">
        <color theme="3" tint="0.249977111117893"/>
      </bottom>
      <diagonal/>
    </border>
    <border>
      <left style="medium">
        <color theme="3" tint="0.249977111117893"/>
      </left>
      <right/>
      <top style="medium">
        <color theme="3" tint="0.249977111117893"/>
      </top>
      <bottom/>
      <diagonal/>
    </border>
    <border>
      <left/>
      <right style="medium">
        <color theme="3" tint="0.249977111117893"/>
      </right>
      <top style="medium">
        <color theme="3" tint="0.249977111117893"/>
      </top>
      <bottom/>
      <diagonal/>
    </border>
    <border>
      <left style="medium">
        <color theme="3" tint="0.249977111117893"/>
      </left>
      <right/>
      <top/>
      <bottom style="medium">
        <color theme="3" tint="0.249977111117893"/>
      </bottom>
      <diagonal/>
    </border>
    <border>
      <left/>
      <right style="medium">
        <color theme="3" tint="0.249977111117893"/>
      </right>
      <top/>
      <bottom style="medium">
        <color theme="3" tint="0.249977111117893"/>
      </bottom>
      <diagonal/>
    </border>
  </borders>
  <cellStyleXfs count="2">
    <xf numFmtId="0" fontId="0" fillId="0" borderId="0"/>
    <xf numFmtId="44" fontId="2" fillId="0" borderId="0" applyFont="0" applyFill="0" applyBorder="0" applyAlignment="0" applyProtection="0"/>
  </cellStyleXfs>
  <cellXfs count="26">
    <xf numFmtId="0" fontId="0" fillId="0" borderId="0" xfId="0"/>
    <xf numFmtId="0" fontId="1" fillId="2" borderId="0" xfId="0" applyFont="1" applyFill="1"/>
    <xf numFmtId="0" fontId="0" fillId="2" borderId="0" xfId="0" applyFill="1"/>
    <xf numFmtId="14" fontId="0" fillId="0" borderId="0" xfId="0" applyNumberFormat="1"/>
    <xf numFmtId="0" fontId="0" fillId="3" borderId="0" xfId="0" applyFill="1"/>
    <xf numFmtId="0" fontId="6" fillId="3" borderId="0" xfId="0" applyFont="1" applyFill="1"/>
    <xf numFmtId="0" fontId="0" fillId="0" borderId="1" xfId="0" applyBorder="1"/>
    <xf numFmtId="164" fontId="0" fillId="0" borderId="0" xfId="0" applyNumberFormat="1"/>
    <xf numFmtId="10" fontId="0" fillId="0" borderId="0" xfId="0" applyNumberFormat="1"/>
    <xf numFmtId="44" fontId="0" fillId="0" borderId="0" xfId="0" applyNumberFormat="1"/>
    <xf numFmtId="0" fontId="5" fillId="2" borderId="0" xfId="0" applyFont="1" applyFill="1" applyAlignment="1">
      <alignment wrapText="1"/>
    </xf>
    <xf numFmtId="40" fontId="0" fillId="0" borderId="0" xfId="0" applyNumberFormat="1"/>
    <xf numFmtId="8" fontId="0" fillId="0" borderId="0" xfId="0" applyNumberFormat="1"/>
    <xf numFmtId="165" fontId="7" fillId="2" borderId="0" xfId="1" applyNumberFormat="1" applyFont="1" applyFill="1" applyAlignment="1">
      <alignment horizontal="center" vertical="center"/>
    </xf>
    <xf numFmtId="40" fontId="4" fillId="2" borderId="0" xfId="0" applyNumberFormat="1" applyFont="1" applyFill="1" applyAlignment="1">
      <alignment vertical="center"/>
    </xf>
    <xf numFmtId="0" fontId="4" fillId="2" borderId="0" xfId="0" applyFont="1" applyFill="1" applyAlignment="1">
      <alignment horizontal="right" vertical="center" wrapText="1"/>
    </xf>
    <xf numFmtId="0" fontId="4" fillId="2" borderId="0" xfId="0" applyFont="1" applyFill="1" applyAlignment="1">
      <alignment horizontal="left" vertical="center"/>
    </xf>
    <xf numFmtId="10" fontId="3" fillId="2" borderId="0" xfId="0" applyNumberFormat="1" applyFont="1" applyFill="1" applyAlignment="1">
      <alignment horizontal="center" vertical="center"/>
    </xf>
    <xf numFmtId="0" fontId="7" fillId="2" borderId="0" xfId="0" applyFont="1" applyFill="1" applyAlignment="1">
      <alignment horizontal="center" vertical="center"/>
    </xf>
    <xf numFmtId="164" fontId="7" fillId="2" borderId="0" xfId="0" applyNumberFormat="1" applyFont="1" applyFill="1" applyAlignment="1">
      <alignment horizontal="left" vertical="center"/>
    </xf>
    <xf numFmtId="0" fontId="0" fillId="5" borderId="0" xfId="0" applyFill="1"/>
    <xf numFmtId="0" fontId="6" fillId="5" borderId="0" xfId="0" applyFont="1" applyFill="1"/>
    <xf numFmtId="0" fontId="4" fillId="4" borderId="2" xfId="0" applyFont="1" applyFill="1" applyBorder="1"/>
    <xf numFmtId="164" fontId="4" fillId="4" borderId="3" xfId="0" applyNumberFormat="1" applyFont="1" applyFill="1" applyBorder="1"/>
    <xf numFmtId="164" fontId="4" fillId="4" borderId="4" xfId="0" applyNumberFormat="1" applyFont="1" applyFill="1" applyBorder="1"/>
    <xf numFmtId="0" fontId="4" fillId="4" borderId="5" xfId="0" applyFont="1" applyFill="1" applyBorder="1"/>
  </cellXfs>
  <cellStyles count="2">
    <cellStyle name="Monétaire" xfId="1" builtinId="4"/>
    <cellStyle name="Normal" xfId="0" builtinId="0"/>
  </cellStyles>
  <dxfs count="3">
    <dxf>
      <numFmt numFmtId="0" formatCode="General"/>
    </dxf>
    <dxf>
      <numFmt numFmtId="0" formatCode="General"/>
    </dxf>
    <dxf>
      <numFmt numFmtId="19" formatCode="dd/mm/yyyy"/>
    </dxf>
  </dxfs>
  <tableStyles count="0" defaultTableStyle="TableStyleMedium2" defaultPivotStyle="PivotStyleLight16"/>
  <colors>
    <mruColors>
      <color rgb="FF4C93D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dRichValueStructure" Target="richData/rdrichvaluestructure.xml"/><Relationship Id="rId13" Type="http://schemas.microsoft.com/office/2017/06/relationships/rdRichValueTypes" Target="richData/rdRichValueTypes.xml"/><Relationship Id="rId3" Type="http://schemas.openxmlformats.org/officeDocument/2006/relationships/theme" Target="theme/theme1.xml"/><Relationship Id="rId7" Type="http://schemas.microsoft.com/office/2017/06/relationships/rdRichValue" Target="richData/rdrichvalue.xml"/><Relationship Id="rId12" Type="http://schemas.microsoft.com/office/2017/06/relationships/rdSupportingPropertyBag" Target="richData/rdsupportingpropertybag.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11" Type="http://schemas.microsoft.com/office/2017/06/relationships/rdSupportingPropertyBagStructure" Target="richData/rdsupportingpropertybagstructure.xml"/><Relationship Id="rId5" Type="http://schemas.openxmlformats.org/officeDocument/2006/relationships/sharedStrings" Target="sharedStrings.xml"/><Relationship Id="rId10" Type="http://schemas.microsoft.com/office/2017/06/relationships/richStyles" Target="richData/richStyles.xml"/><Relationship Id="rId4" Type="http://schemas.openxmlformats.org/officeDocument/2006/relationships/styles" Target="styles.xml"/><Relationship Id="rId9" Type="http://schemas.microsoft.com/office/2017/06/relationships/rdArray" Target="richData/rdarray.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6"/>
    </mc:Choice>
    <mc:Fallback>
      <c:style val="6"/>
    </mc:Fallback>
  </mc:AlternateContent>
  <c:chart>
    <c:autoTitleDeleted val="0"/>
    <c:plotArea>
      <c:layout/>
      <c:pieChart>
        <c:varyColors val="1"/>
        <c:ser>
          <c:idx val="0"/>
          <c:order val="0"/>
          <c:dPt>
            <c:idx val="0"/>
            <c:bubble3D val="0"/>
            <c:spPr>
              <a:solidFill>
                <a:schemeClr val="accent4">
                  <a:shade val="53000"/>
                </a:schemeClr>
              </a:solidFill>
              <a:ln w="19050">
                <a:solidFill>
                  <a:schemeClr val="lt1"/>
                </a:solidFill>
              </a:ln>
              <a:effectLst/>
            </c:spPr>
            <c:extLst>
              <c:ext xmlns:c16="http://schemas.microsoft.com/office/drawing/2014/chart" uri="{C3380CC4-5D6E-409C-BE32-E72D297353CC}">
                <c16:uniqueId val="{00000001-35F1-5645-9412-2A0BF42F8B42}"/>
              </c:ext>
            </c:extLst>
          </c:dPt>
          <c:dPt>
            <c:idx val="1"/>
            <c:bubble3D val="0"/>
            <c:spPr>
              <a:solidFill>
                <a:schemeClr val="accent4">
                  <a:shade val="76000"/>
                </a:schemeClr>
              </a:solidFill>
              <a:ln w="19050">
                <a:solidFill>
                  <a:schemeClr val="lt1"/>
                </a:solidFill>
              </a:ln>
              <a:effectLst/>
            </c:spPr>
            <c:extLst>
              <c:ext xmlns:c16="http://schemas.microsoft.com/office/drawing/2014/chart" uri="{C3380CC4-5D6E-409C-BE32-E72D297353CC}">
                <c16:uniqueId val="{00000003-35F1-5645-9412-2A0BF42F8B42}"/>
              </c:ext>
            </c:extLst>
          </c:dPt>
          <c:dPt>
            <c:idx val="2"/>
            <c:bubble3D val="0"/>
            <c:spPr>
              <a:solidFill>
                <a:schemeClr val="accent4"/>
              </a:solidFill>
              <a:ln w="19050">
                <a:solidFill>
                  <a:schemeClr val="lt1"/>
                </a:solidFill>
              </a:ln>
              <a:effectLst/>
            </c:spPr>
            <c:extLst>
              <c:ext xmlns:c16="http://schemas.microsoft.com/office/drawing/2014/chart" uri="{C3380CC4-5D6E-409C-BE32-E72D297353CC}">
                <c16:uniqueId val="{00000005-35F1-5645-9412-2A0BF42F8B42}"/>
              </c:ext>
            </c:extLst>
          </c:dPt>
          <c:dPt>
            <c:idx val="3"/>
            <c:bubble3D val="0"/>
            <c:spPr>
              <a:solidFill>
                <a:schemeClr val="accent4">
                  <a:tint val="77000"/>
                </a:schemeClr>
              </a:solidFill>
              <a:ln w="19050">
                <a:solidFill>
                  <a:schemeClr val="lt1"/>
                </a:solidFill>
              </a:ln>
              <a:effectLst/>
            </c:spPr>
            <c:extLst>
              <c:ext xmlns:c16="http://schemas.microsoft.com/office/drawing/2014/chart" uri="{C3380CC4-5D6E-409C-BE32-E72D297353CC}">
                <c16:uniqueId val="{00000007-35F1-5645-9412-2A0BF42F8B42}"/>
              </c:ext>
            </c:extLst>
          </c:dPt>
          <c:dPt>
            <c:idx val="4"/>
            <c:bubble3D val="0"/>
            <c:spPr>
              <a:solidFill>
                <a:schemeClr val="accent4">
                  <a:tint val="54000"/>
                </a:schemeClr>
              </a:solidFill>
              <a:ln w="19050">
                <a:solidFill>
                  <a:schemeClr val="lt1"/>
                </a:solidFill>
              </a:ln>
              <a:effectLst/>
            </c:spPr>
            <c:extLst>
              <c:ext xmlns:c16="http://schemas.microsoft.com/office/drawing/2014/chart" uri="{C3380CC4-5D6E-409C-BE32-E72D297353CC}">
                <c16:uniqueId val="{00000009-35F1-5645-9412-2A0BF42F8B42}"/>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fr-FR"/>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Dashboard!$B$16:$B$20</c:f>
              <c:strCache>
                <c:ptCount val="5"/>
                <c:pt idx="0">
                  <c:v>Diversified Retail</c:v>
                </c:pt>
                <c:pt idx="1">
                  <c:v>Banking Services</c:v>
                </c:pt>
                <c:pt idx="2">
                  <c:v>ETF</c:v>
                </c:pt>
                <c:pt idx="3">
                  <c:v>Semiconductors &amp; Semiconductor Equipment</c:v>
                </c:pt>
                <c:pt idx="4">
                  <c:v>Software &amp; IT Services</c:v>
                </c:pt>
              </c:strCache>
            </c:strRef>
          </c:cat>
          <c:val>
            <c:numRef>
              <c:f>Dashboard!$C$16:$C$20</c:f>
              <c:numCache>
                <c:formatCode>_("€"* #,##0.00_);_("€"* \(#,##0.00\);_("€"* "-"??_);_(@_)</c:formatCode>
                <c:ptCount val="5"/>
                <c:pt idx="0">
                  <c:v>51.326099999999997</c:v>
                </c:pt>
                <c:pt idx="1">
                  <c:v>65.489999999999995</c:v>
                </c:pt>
                <c:pt idx="2">
                  <c:v>470.77095000000003</c:v>
                </c:pt>
                <c:pt idx="3">
                  <c:v>188.14999999999998</c:v>
                </c:pt>
                <c:pt idx="4">
                  <c:v>544.04499999999996</c:v>
                </c:pt>
              </c:numCache>
            </c:numRef>
          </c:val>
          <c:extLst>
            <c:ext xmlns:c15="http://schemas.microsoft.com/office/drawing/2012/chart" uri="{02D57815-91ED-43cb-92C2-25804820EDAC}">
              <c15:filteredSeriesTitle>
                <c15:tx>
                  <c:strRef>
                    <c:extLst>
                      <c:ext uri="{02D57815-91ED-43cb-92C2-25804820EDAC}">
                        <c15:formulaRef>
                          <c15:sqref> </c15:sqref>
                        </c15:formulaRef>
                      </c:ext>
                    </c:extLst>
                  </c:strRef>
                </c15:tx>
              </c15:filteredSeriesTitle>
            </c:ext>
            <c:ext xmlns:c16="http://schemas.microsoft.com/office/drawing/2014/chart" uri="{C3380CC4-5D6E-409C-BE32-E72D297353CC}">
              <c16:uniqueId val="{00000000-E140-5C4C-8056-4F4FF90EFFBC}"/>
            </c:ext>
          </c:extLst>
        </c:ser>
        <c:dLbls>
          <c:showLegendKey val="0"/>
          <c:showVal val="0"/>
          <c:showCatName val="1"/>
          <c:showSerName val="0"/>
          <c:showPercent val="1"/>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withinLinear" id="17">
  <a:schemeClr val="accent4"/>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0</xdr:row>
      <xdr:rowOff>203200</xdr:rowOff>
    </xdr:from>
    <xdr:to>
      <xdr:col>4</xdr:col>
      <xdr:colOff>215900</xdr:colOff>
      <xdr:row>1</xdr:row>
      <xdr:rowOff>254000</xdr:rowOff>
    </xdr:to>
    <xdr:sp macro="" textlink="">
      <xdr:nvSpPr>
        <xdr:cNvPr id="2" name="ZoneTexte 1">
          <a:extLst>
            <a:ext uri="{FF2B5EF4-FFF2-40B4-BE49-F238E27FC236}">
              <a16:creationId xmlns:a16="http://schemas.microsoft.com/office/drawing/2014/main" id="{ED3F15C9-DEE3-777B-7771-7201718FB93F}"/>
            </a:ext>
          </a:extLst>
        </xdr:cNvPr>
        <xdr:cNvSpPr txBox="1"/>
      </xdr:nvSpPr>
      <xdr:spPr>
        <a:xfrm>
          <a:off x="215900" y="203200"/>
          <a:ext cx="6832600" cy="558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fr-FR" sz="3600">
              <a:solidFill>
                <a:schemeClr val="bg1"/>
              </a:solidFill>
            </a:rPr>
            <a:t>Personal Stock Portfolio Dashboard</a:t>
          </a:r>
        </a:p>
        <a:p>
          <a:endParaRPr lang="fr-FR" sz="3600">
            <a:solidFill>
              <a:schemeClr val="bg1"/>
            </a:solidFill>
          </a:endParaRPr>
        </a:p>
      </xdr:txBody>
    </xdr:sp>
    <xdr:clientData/>
  </xdr:twoCellAnchor>
  <xdr:twoCellAnchor>
    <xdr:from>
      <xdr:col>3</xdr:col>
      <xdr:colOff>101504</xdr:colOff>
      <xdr:row>14</xdr:row>
      <xdr:rowOff>55191</xdr:rowOff>
    </xdr:from>
    <xdr:to>
      <xdr:col>11</xdr:col>
      <xdr:colOff>28221</xdr:colOff>
      <xdr:row>20</xdr:row>
      <xdr:rowOff>61148</xdr:rowOff>
    </xdr:to>
    <xdr:graphicFrame macro="">
      <xdr:nvGraphicFramePr>
        <xdr:cNvPr id="4" name="Graphique 3">
          <a:extLst>
            <a:ext uri="{FF2B5EF4-FFF2-40B4-BE49-F238E27FC236}">
              <a16:creationId xmlns:a16="http://schemas.microsoft.com/office/drawing/2014/main" id="{57B7018F-D9DF-7696-67D3-1A4CB05297C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656167</xdr:colOff>
      <xdr:row>3</xdr:row>
      <xdr:rowOff>42334</xdr:rowOff>
    </xdr:from>
    <xdr:to>
      <xdr:col>266</xdr:col>
      <xdr:colOff>296334</xdr:colOff>
      <xdr:row>15</xdr:row>
      <xdr:rowOff>317500</xdr:rowOff>
    </xdr:to>
    <xdr:sp macro="" textlink="">
      <xdr:nvSpPr>
        <xdr:cNvPr id="3" name="Rectangle 2">
          <a:extLst>
            <a:ext uri="{FF2B5EF4-FFF2-40B4-BE49-F238E27FC236}">
              <a16:creationId xmlns:a16="http://schemas.microsoft.com/office/drawing/2014/main" id="{69CF38FE-C376-0157-0B83-813E138B1285}"/>
            </a:ext>
          </a:extLst>
        </xdr:cNvPr>
        <xdr:cNvSpPr/>
      </xdr:nvSpPr>
      <xdr:spPr>
        <a:xfrm>
          <a:off x="14478000" y="1481667"/>
          <a:ext cx="210142667" cy="315383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fr-FR" sz="1100"/>
        </a:p>
      </xdr:txBody>
    </xdr:sp>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array.xml><?xml version="1.0" encoding="utf-8"?>
<arrayData xmlns="http://schemas.microsoft.com/office/spreadsheetml/2017/richdata2" count="10">
  <a r="1" c="249">
    <v t="i">2</v>
    <v t="i">3</v>
    <v t="i">4</v>
    <v t="i">5</v>
    <v t="i">6</v>
    <v t="i">9</v>
    <v t="i">10</v>
    <v t="i">11</v>
    <v t="i">12</v>
    <v t="i">13</v>
    <v t="i">16</v>
    <v t="i">17</v>
    <v t="i">18</v>
    <v t="i">20</v>
    <v t="i">23</v>
    <v t="i">24</v>
    <v t="i">25</v>
    <v t="i">26</v>
    <v t="i">27</v>
    <v t="i">30</v>
    <v t="i">31</v>
    <v t="i">32</v>
    <v t="i">33</v>
    <v t="i">34</v>
    <v t="i">37</v>
    <v t="i">38</v>
    <v t="i">39</v>
    <v t="i">40</v>
    <v t="i">41</v>
    <v t="i">44</v>
    <v t="i">45</v>
    <v t="i">47</v>
    <v t="i">48</v>
    <v t="i">51</v>
    <v t="i">52</v>
    <v t="i">54</v>
    <v t="i">55</v>
    <v t="i">58</v>
    <v t="i">59</v>
    <v t="i">60</v>
    <v t="i">62</v>
    <v t="i">65</v>
    <v t="i">66</v>
    <v t="i">67</v>
    <v t="i">68</v>
    <v t="i">69</v>
    <v t="i">73</v>
    <v t="i">74</v>
    <v t="i">75</v>
    <v t="i">76</v>
    <v t="i">79</v>
    <v t="i">80</v>
    <v t="i">81</v>
    <v t="i">82</v>
    <v t="i">83</v>
    <v t="i">86</v>
    <v t="i">87</v>
    <v t="i">88</v>
    <v t="i">89</v>
    <v t="i">90</v>
    <v t="i">93</v>
    <v t="i">94</v>
    <v t="i">95</v>
    <v t="i">96</v>
    <v t="i">97</v>
    <v t="i">101</v>
    <v t="i">102</v>
    <v t="i">103</v>
    <v t="i">104</v>
    <v t="i">107</v>
    <v t="i">108</v>
    <v t="i">109</v>
    <v t="i">110</v>
    <v t="i">111</v>
    <v t="i">114</v>
    <v t="i">115</v>
    <v t="i">116</v>
    <v t="i">117</v>
    <v t="i">118</v>
    <v t="i">121</v>
    <v t="i">122</v>
    <v t="i">123</v>
    <v t="i">124</v>
    <v t="i">125</v>
    <v t="i">128</v>
    <v t="i">129</v>
    <v t="i">130</v>
    <v t="i">131</v>
    <v t="i">132</v>
    <v t="i">135</v>
    <v t="i">136</v>
    <v t="i">137</v>
    <v t="i">138</v>
    <v t="i">139</v>
    <v t="i">142</v>
    <v t="i">143</v>
    <v t="i">144</v>
    <v t="i">145</v>
    <v t="i">146</v>
    <v t="i">149</v>
    <v t="i">150</v>
    <v t="i">151</v>
    <v t="i">152</v>
    <v t="i">153</v>
    <v t="i">156</v>
    <v t="i">157</v>
    <v t="i">158</v>
    <v t="i">159</v>
    <v t="i">163</v>
    <v t="i">164</v>
    <v t="i">165</v>
    <v t="i">166</v>
    <v t="i">167</v>
    <v t="i">170</v>
    <v t="i">171</v>
    <v t="i">172</v>
    <v t="i">173</v>
    <v t="i">174</v>
    <v t="i">177</v>
    <v t="i">178</v>
    <v t="i">179</v>
    <v t="i">180</v>
    <v t="i">181</v>
    <v t="i">184</v>
    <v t="i">185</v>
    <v t="i">186</v>
    <v t="i">187</v>
    <v t="i">188</v>
    <v t="i">191</v>
    <v t="i">192</v>
    <v t="i">193</v>
    <v t="i">194</v>
    <v t="i">195</v>
    <v t="i">199</v>
    <v t="i">200</v>
    <v t="i">201</v>
    <v t="i">202</v>
    <v t="i">205</v>
    <v t="i">206</v>
    <v t="i">207</v>
    <v t="i">208</v>
    <v t="i">209</v>
    <v t="i">212</v>
    <v t="i">213</v>
    <v t="i">214</v>
    <v t="i">215</v>
    <v t="i">216</v>
    <v t="i">219</v>
    <v t="i">220</v>
    <v t="i">221</v>
    <v t="i">223</v>
    <v t="i">226</v>
    <v t="i">227</v>
    <v t="i">228</v>
    <v t="i">229</v>
    <v t="i">230</v>
    <v t="i">233</v>
    <v t="i">234</v>
    <v t="i">235</v>
    <v t="i">236</v>
    <v t="i">240</v>
    <v t="i">241</v>
    <v t="i">242</v>
    <v t="i">243</v>
    <v t="i">244</v>
    <v t="i">247</v>
    <v t="i">248</v>
    <v t="i">249</v>
    <v t="i">250</v>
    <v t="i">251</v>
    <v t="i">254</v>
    <v t="i">255</v>
    <v t="i">256</v>
    <v t="i">257</v>
    <v t="i">258</v>
    <v t="i">261</v>
    <v t="i">262</v>
    <v t="i">263</v>
    <v t="i">264</v>
    <v t="i">265</v>
    <v t="i">268</v>
    <v t="i">269</v>
    <v t="i">270</v>
    <v t="i">271</v>
    <v t="i">272</v>
    <v t="i">275</v>
    <v t="i">276</v>
    <v t="i">277</v>
    <v t="i">278</v>
    <v t="i">279</v>
    <v t="i">282</v>
    <v t="i">283</v>
    <v t="i">284</v>
    <v t="i">285</v>
    <v t="i">286</v>
    <v t="i">289</v>
    <v t="i">290</v>
    <v t="i">291</v>
    <v t="i">292</v>
    <v t="i">293</v>
    <v t="i">297</v>
    <v t="i">298</v>
    <v t="i">299</v>
    <v t="i">300</v>
    <v t="i">303</v>
    <v t="i">304</v>
    <v t="i">305</v>
    <v t="i">306</v>
    <v t="i">307</v>
    <v t="i">310</v>
    <v t="i">311</v>
    <v t="i">312</v>
    <v t="i">313</v>
    <v t="i">314</v>
    <v t="i">317</v>
    <v t="i">318</v>
    <v t="i">319</v>
    <v t="i">320</v>
    <v t="i">321</v>
    <v t="i">324</v>
    <v t="i">325</v>
    <v t="i">326</v>
    <v t="i">327</v>
    <v t="i">328</v>
    <v t="i">331</v>
    <v t="i">332</v>
    <v t="i">333</v>
    <v t="i">334</v>
    <v t="i">335</v>
    <v t="i">338</v>
    <v t="i">339</v>
    <v t="i">340</v>
    <v t="i">341</v>
    <v t="i">342</v>
    <v t="i">345</v>
    <v t="i">346</v>
    <v t="i">347</v>
    <v t="i">348</v>
    <v t="i">349</v>
    <v t="i">352</v>
    <v t="i">353</v>
    <v t="i">354</v>
    <v t="i">355</v>
    <v t="i">356</v>
    <v t="i">359</v>
    <v t="i">360</v>
    <v t="i">361</v>
    <v t="i">362</v>
    <v t="i">363</v>
  </a>
  <a r="1" c="249">
    <v>199.05</v>
    <v>199.01</v>
    <v>201.18</v>
    <v>197.19499999999999</v>
    <v>193.5</v>
    <v>193.41499999999999</v>
    <v>194.03</v>
    <v>196.44499999999999</v>
    <v>198.85</v>
    <v>191.68</v>
    <v>193.19</v>
    <v>198.2</v>
    <v>192.185</v>
    <v>193.91</v>
    <v>195.08500000000001</v>
    <v>196.29499999999999</v>
    <v>202.29</v>
    <v>201.51499999999999</v>
    <v>202.95</v>
    <v>194.47</v>
    <v>194.88</v>
    <v>199.21</v>
    <v>200.10499999999999</v>
    <v>196.56</v>
    <v>202.5</v>
    <v>201.24</v>
    <v>188.76</v>
    <v>189.36</v>
    <v>186.78</v>
    <v>188.22</v>
    <v>189.51</v>
    <v>188.5</v>
    <v>186.18</v>
    <v>184.2</v>
    <v>181.96</v>
    <v>180.74</v>
    <v>183.25</v>
    <v>179.5</v>
    <v>175.51</v>
    <v>172.83</v>
    <v>173.42</v>
    <v>167.82</v>
    <v>170.58</v>
    <v>174.19</v>
    <v>177.17</v>
    <v>177.11</v>
    <v>183.51</v>
    <v>187.7</v>
    <v>187.32</v>
    <v>187.7</v>
    <v>189.3</v>
    <v>192.94</v>
    <v>185.42</v>
    <v>187.42</v>
    <v>184.42</v>
    <v>182.79</v>
    <v>183.4</v>
    <v>186.85</v>
    <v>187.37</v>
    <v>193.94</v>
    <v>196.4</v>
    <v>195.49</v>
    <v>196.73</v>
    <v>201.88</v>
    <v>200.03</v>
    <v>208.28</v>
    <v>205.19</v>
    <v>198.81</v>
    <v>191.03</v>
    <v>190.39</v>
    <v>188.01</v>
    <v>189.55</v>
    <v>187.5</v>
    <v>190.43</v>
    <v>183.68</v>
    <v>184.38</v>
    <v>184.28</v>
    <v>179.33</v>
    <v>180.93</v>
    <v>173.83</v>
    <v>178.93</v>
    <v>179.48</v>
    <v>176.32</v>
    <v>182.34</v>
    <v>185</v>
    <v>183.1</v>
    <v>187.54</v>
    <v>184.01</v>
    <v>182.32</v>
    <v>184.79</v>
    <v>189.95</v>
    <v>184.96</v>
    <v>174.44</v>
    <v>172.76</v>
    <v>170.64</v>
    <v>171.31</v>
    <v>173.18</v>
    <v>165.17</v>
    <v>153.57</v>
    <v>152.44</v>
    <v>152.53</v>
    <v>173.02</v>
    <v>168.27</v>
    <v>168.34</v>
    <v>169.98</v>
    <v>173.55</v>
    <v>169.76</v>
    <v>167.69</v>
    <v>160.05000000000001</v>
    <v>163.63</v>
    <v>168.32</v>
    <v>176.04</v>
    <v>178.98</v>
    <v>181.54</v>
    <v>186.65</v>
    <v>186.93</v>
    <v>186.27</v>
    <v>187.7</v>
    <v>188.13</v>
    <v>188.69</v>
    <v>188.14</v>
    <v>188.53</v>
    <v>186.93</v>
    <v>193.5</v>
    <v>192</v>
    <v>190.9</v>
    <v>192.9</v>
    <v>192.98</v>
    <v>194.3</v>
    <v>194.48</v>
    <v>181.26</v>
    <v>186.14</v>
    <v>186.75</v>
    <v>187.46</v>
    <v>187.8</v>
    <v>185.82</v>
    <v>192.42</v>
    <v>194.86</v>
    <v>197.12</v>
    <v>194.07</v>
    <v>197.11</v>
    <v>199.6</v>
    <v>196.33</v>
    <v>195.95</v>
    <v>194.39</v>
    <v>197.67</v>
    <v>196.27</v>
    <v>198.11</v>
    <v>202.05</v>
    <v>199.78</v>
    <v>199.24</v>
    <v>203.32</v>
    <v>201.69</v>
    <v>204.3</v>
    <v>202.34</v>
    <v>200.57</v>
    <v>204.64</v>
    <v>197.58</v>
    <v>196.97</v>
    <v>201.82</v>
    <v>201.42</v>
    <v>203.99</v>
    <v>206.06</v>
    <v>192.07</v>
    <v>187.39</v>
    <v>190.72</v>
    <v>192.25</v>
    <v>192.59</v>
    <v>196.28</v>
    <v>195.78</v>
    <v>199.88</v>
    <v>196.73</v>
    <v>199.22</v>
    <v>201.16</v>
    <v>203.27</v>
    <v>204.5</v>
    <v>193.84</v>
    <v>183.03</v>
    <v>173.6</v>
    <v>172.88</v>
    <v>171</v>
    <v>169.09</v>
    <v>172.89</v>
    <v>168.1</v>
    <v>167.06</v>
    <v>168.17</v>
    <v>175.4</v>
    <v>176.86</v>
    <v>173.55</v>
    <v>177.09</v>
    <v>176.17</v>
    <v>181.56</v>
    <v>184.43</v>
    <v>183.32</v>
    <v>185.88</v>
    <v>184.55</v>
    <v>184.23</v>
    <v>187.61</v>
    <v>191.02</v>
    <v>190.52</v>
    <v>190.52</v>
    <v>191.53</v>
    <v>192.35</v>
    <v>194.46</v>
    <v>197.38</v>
    <v>197.55</v>
    <v>197.33</v>
    <v>198.33</v>
    <v>196.29</v>
    <v>201.28</v>
    <v>201.34</v>
    <v>203.12</v>
    <v>205.68</v>
    <v>208.19</v>
    <v>208.18</v>
    <v>203.25</v>
    <v>200.7</v>
    <v>202.21</v>
    <v>202.37</v>
    <v>203.96</v>
    <v>203.62</v>
    <v>206.8</v>
    <v>209.3</v>
    <v>207.19</v>
    <v>212.58</v>
    <v>211.04</v>
    <v>217.79</v>
    <v>215.17</v>
    <v>208.55</v>
    <v>213.28</v>
    <v>207.56</v>
    <v>206.7</v>
    <v>205.51</v>
    <v>207.89</v>
    <v>211.82</v>
    <v>214.4</v>
    <v>212.42</v>
    <v>215.02</v>
    <v>217.11</v>
    <v>220.29</v>
    <v>221.38</v>
    <v>217.16</v>
    <v>218.27</v>
    <v>220.24</v>
    <v>219.23</v>
    <v>214.52</v>
    <v>213.18</v>
    <v>211.37</v>
    <v>212.285</v>
  </a>
  <a r="1" c="252">
    <v t="i">2</v>
    <v t="i">3</v>
    <v t="i">4</v>
    <v t="i">5</v>
    <v t="i">6</v>
    <v t="i">9</v>
    <v t="i">10</v>
    <v t="i">11</v>
    <v t="i">12</v>
    <v t="i">13</v>
    <v t="i">16</v>
    <v t="i">17</v>
    <v t="i">18</v>
    <v t="i">19</v>
    <v t="i">20</v>
    <v t="i">23</v>
    <v t="i">24</v>
    <v t="i">25</v>
    <v t="i">26</v>
    <v t="i">27</v>
    <v t="i">30</v>
    <v t="i">31</v>
    <v t="i">32</v>
    <v t="i">33</v>
    <v t="i">34</v>
    <v t="i">37</v>
    <v t="i">38</v>
    <v t="i">39</v>
    <v t="i">40</v>
    <v t="i">41</v>
    <v t="i">44</v>
    <v t="i">48</v>
    <v t="i">51</v>
    <v t="i">54</v>
    <v t="i">55</v>
    <v t="i">58</v>
    <v t="i">59</v>
    <v t="i">60</v>
    <v t="i">61</v>
    <v t="i">62</v>
    <v t="i">65</v>
    <v t="i">66</v>
    <v t="i">67</v>
    <v t="i">68</v>
    <v t="i">69</v>
    <v t="i">72</v>
    <v t="i">73</v>
    <v t="i">74</v>
    <v t="i">75</v>
    <v t="i">76</v>
    <v t="i">79</v>
    <v t="i">80</v>
    <v t="i">81</v>
    <v t="i">82</v>
    <v t="i">83</v>
    <v t="i">86</v>
    <v t="i">87</v>
    <v t="i">88</v>
    <v t="i">89</v>
    <v t="i">90</v>
    <v t="i">93</v>
    <v t="i">94</v>
    <v t="i">95</v>
    <v t="i">96</v>
    <v t="i">97</v>
    <v t="i">100</v>
    <v t="i">101</v>
    <v t="i">102</v>
    <v t="i">103</v>
    <v t="i">104</v>
    <v t="i">107</v>
    <v t="i">108</v>
    <v t="i">109</v>
    <v t="i">110</v>
    <v t="i">111</v>
    <v t="i">114</v>
    <v t="i">115</v>
    <v t="i">116</v>
    <v t="i">117</v>
    <v t="i">118</v>
    <v t="i">121</v>
    <v t="i">122</v>
    <v t="i">123</v>
    <v t="i">124</v>
    <v t="i">125</v>
    <v t="i">128</v>
    <v t="i">129</v>
    <v t="i">130</v>
    <v t="i">131</v>
    <v t="i">132</v>
    <v t="i">135</v>
    <v t="i">136</v>
    <v t="i">137</v>
    <v t="i">138</v>
    <v t="i">139</v>
    <v t="i">142</v>
    <v t="i">143</v>
    <v t="i">144</v>
    <v t="i">145</v>
    <v t="i">146</v>
    <v t="i">149</v>
    <v t="i">150</v>
    <v t="i">151</v>
    <v t="i">152</v>
    <v t="i">153</v>
    <v t="i">156</v>
    <v t="i">157</v>
    <v t="i">158</v>
    <v t="i">159</v>
    <v t="i">164</v>
    <v t="i">165</v>
    <v t="i">166</v>
    <v t="i">167</v>
    <v t="i">170</v>
    <v t="i">171</v>
    <v t="i">172</v>
    <v t="i">174</v>
    <v t="i">177</v>
    <v t="i">178</v>
    <v t="i">179</v>
    <v t="i">180</v>
    <v t="i">181</v>
    <v t="i">184</v>
    <v t="i">185</v>
    <v t="i">186</v>
    <v t="i">187</v>
    <v t="i">188</v>
    <v t="i">191</v>
    <v t="i">192</v>
    <v t="i">193</v>
    <v t="i">194</v>
    <v t="i">195</v>
    <v t="i">198</v>
    <v t="i">199</v>
    <v t="i">200</v>
    <v t="i">201</v>
    <v t="i">202</v>
    <v t="i">205</v>
    <v t="i">206</v>
    <v t="i">207</v>
    <v t="i">208</v>
    <v t="i">209</v>
    <v t="i">212</v>
    <v t="i">213</v>
    <v t="i">214</v>
    <v t="i">215</v>
    <v t="i">216</v>
    <v t="i">219</v>
    <v t="i">220</v>
    <v t="i">221</v>
    <v t="i">222</v>
    <v t="i">223</v>
    <v t="i">226</v>
    <v t="i">227</v>
    <v t="i">228</v>
    <v t="i">229</v>
    <v t="i">230</v>
    <v t="i">233</v>
    <v t="i">234</v>
    <v t="i">235</v>
    <v t="i">236</v>
    <v t="i">237</v>
    <v t="i">240</v>
    <v t="i">241</v>
    <v t="i">242</v>
    <v t="i">243</v>
    <v t="i">244</v>
    <v t="i">247</v>
    <v t="i">248</v>
    <v t="i">249</v>
    <v t="i">250</v>
    <v t="i">251</v>
    <v t="i">254</v>
    <v t="i">255</v>
    <v t="i">256</v>
    <v t="i">257</v>
    <v t="i">258</v>
    <v t="i">261</v>
    <v t="i">262</v>
    <v t="i">263</v>
    <v t="i">264</v>
    <v t="i">265</v>
    <v t="i">268</v>
    <v t="i">269</v>
    <v t="i">270</v>
    <v t="i">271</v>
    <v t="i">272</v>
    <v t="i">275</v>
    <v t="i">276</v>
    <v t="i">277</v>
    <v t="i">278</v>
    <v t="i">279</v>
    <v t="i">282</v>
    <v t="i">283</v>
    <v t="i">284</v>
    <v t="i">285</v>
    <v t="i">286</v>
    <v t="i">289</v>
    <v t="i">290</v>
    <v t="i">291</v>
    <v t="i">292</v>
    <v t="i">293</v>
    <v t="i">296</v>
    <v t="i">297</v>
    <v t="i">298</v>
    <v t="i">299</v>
    <v t="i">300</v>
    <v t="i">303</v>
    <v t="i">304</v>
    <v t="i">305</v>
    <v t="i">306</v>
    <v t="i">307</v>
    <v t="i">310</v>
    <v t="i">311</v>
    <v t="i">312</v>
    <v t="i">313</v>
    <v t="i">314</v>
    <v t="i">317</v>
    <v t="i">318</v>
    <v t="i">319</v>
    <v t="i">320</v>
    <v t="i">321</v>
    <v t="i">324</v>
    <v t="i">325</v>
    <v t="i">326</v>
    <v t="i">327</v>
    <v t="i">328</v>
    <v t="i">331</v>
    <v t="i">332</v>
    <v t="i">333</v>
    <v t="i">334</v>
    <v t="i">335</v>
    <v t="i">338</v>
    <v t="i">339</v>
    <v t="i">340</v>
    <v t="i">341</v>
    <v t="i">342</v>
    <v t="i">345</v>
    <v t="i">346</v>
    <v t="i">347</v>
    <v t="i">348</v>
    <v t="i">349</v>
    <v t="i">352</v>
    <v t="i">353</v>
    <v t="i">354</v>
    <v t="i">355</v>
    <v t="i">356</v>
    <v t="i">359</v>
    <v t="i">360</v>
    <v t="i">361</v>
    <v t="i">362</v>
    <v t="i">363</v>
  </a>
  <a r="1" c="252">
    <v>47.75</v>
    <v>47.432000000000002</v>
    <v>47.368000000000002</v>
    <v>47.2</v>
    <v>47.16</v>
    <v>47.734000000000002</v>
    <v>48.176000000000002</v>
    <v>48.713999999999999</v>
    <v>49.405999999999999</v>
    <v>50.424999999999997</v>
    <v>48.351999999999997</v>
    <v>48.542000000000002</v>
    <v>48.393999999999998</v>
    <v>48.5</v>
    <v>48.735999999999997</v>
    <v>48.69</v>
    <v>48.67</v>
    <v>48.78</v>
    <v>48.194000000000003</v>
    <v>48.41</v>
    <v>48.844000000000001</v>
    <v>49.585999999999999</v>
    <v>50.21</v>
    <v>49.567999999999998</v>
    <v>49.026000000000003</v>
    <v>48.968000000000004</v>
    <v>48.856000000000002</v>
    <v>48.765999999999998</v>
    <v>48.521999999999998</v>
    <v>48.753999999999998</v>
    <v>48.62</v>
    <v>48.63</v>
    <v>48.728000000000002</v>
    <v>50.164999999999999</v>
    <v>49.7</v>
    <v>49.228000000000002</v>
    <v>49.545999999999999</v>
    <v>49.932000000000002</v>
    <v>50.255000000000003</v>
    <v>50.865000000000002</v>
    <v>50.484999999999999</v>
    <v>50.274999999999999</v>
    <v>50.69</v>
    <v>51.155000000000001</v>
    <v>51.04</v>
    <v>50.53</v>
    <v>51.35</v>
    <v>51.34</v>
    <v>51.215000000000003</v>
    <v>51.14</v>
    <v>50.59</v>
    <v>51.414999999999999</v>
    <v>51.274999999999999</v>
    <v>52.21</v>
    <v>52.465000000000003</v>
    <v>53.274999999999999</v>
    <v>53.354999999999997</v>
    <v>53.49</v>
    <v>53.284999999999997</v>
    <v>53.82</v>
    <v>54.774999999999999</v>
    <v>54.505000000000003</v>
    <v>54.18</v>
    <v>54.59</v>
    <v>53.36</v>
    <v>53.685000000000002</v>
    <v>54.505000000000003</v>
    <v>54.784999999999997</v>
    <v>54.405000000000001</v>
    <v>54.615000000000002</v>
    <v>54.594999999999999</v>
    <v>53.75</v>
    <v>53.94</v>
    <v>53.66</v>
    <v>53.204999999999998</v>
    <v>53.43</v>
    <v>53.6</v>
    <v>52.774999999999999</v>
    <v>52.615000000000002</v>
    <v>52.064999999999998</v>
    <v>51.79</v>
    <v>51.78</v>
    <v>52.484999999999999</v>
    <v>53.33</v>
    <v>53.405000000000001</v>
    <v>53.344999999999999</v>
    <v>53.865000000000002</v>
    <v>54.24</v>
    <v>54.45</v>
    <v>54.18</v>
    <v>54.06</v>
    <v>54.46</v>
    <v>54.685000000000002</v>
    <v>55.104999999999997</v>
    <v>55.265000000000001</v>
    <v>56.024999999999999</v>
    <v>55.81</v>
    <v>55.844999999999999</v>
    <v>54.77</v>
    <v>53.484999999999999</v>
    <v>52.4</v>
    <v>53.1</v>
    <v>54.055</v>
    <v>54.914999999999999</v>
    <v>55.3</v>
    <v>55.295000000000002</v>
    <v>55.494999999999997</v>
    <v>56.625</v>
    <v>56.814999999999998</v>
    <v>57.795000000000002</v>
    <v>56.35</v>
    <v>56.935000000000002</v>
    <v>56.134999999999998</v>
    <v>56.76</v>
    <v>56.84</v>
    <v>56.645000000000003</v>
    <v>55.51</v>
    <v>56.884999999999998</v>
    <v>58.32</v>
    <v>57.954999999999998</v>
    <v>57.21</v>
    <v>57.5</v>
    <v>56.72</v>
    <v>56.39</v>
    <v>55.22</v>
    <v>55.965000000000003</v>
    <v>55.63</v>
    <v>55.67</v>
    <v>56.494999999999997</v>
    <v>56.66</v>
    <v>56.79</v>
    <v>57.534999999999997</v>
    <v>57.01</v>
    <v>56.57</v>
    <v>56.67</v>
    <v>56.725000000000001</v>
    <v>56.255000000000003</v>
    <v>57.5</v>
    <v>57.23</v>
    <v>57.42</v>
    <v>56.92</v>
    <v>56.64</v>
    <v>56.674999999999997</v>
    <v>56.52</v>
    <v>56.16</v>
    <v>56.77</v>
    <v>57.725000000000001</v>
    <v>56.94</v>
    <v>57.454999999999998</v>
    <v>57.16</v>
    <v>57.174999999999997</v>
    <v>56.71</v>
    <v>56.825000000000003</v>
    <v>55.435000000000002</v>
    <v>55.534999999999997</v>
    <v>55.225000000000001</v>
    <v>54.284999999999997</v>
    <v>54.405000000000001</v>
    <v>55.024999999999999</v>
    <v>55.055</v>
    <v>54.965000000000003</v>
    <v>55.02</v>
    <v>55.35</v>
    <v>54.83</v>
    <v>54.965000000000003</v>
    <v>55.134999999999998</v>
    <v>55.67</v>
    <v>55.844999999999999</v>
    <v>55.835000000000001</v>
    <v>55.884999999999998</v>
    <v>55.984999999999999</v>
    <v>56.02</v>
    <v>56.36</v>
    <v>56.69</v>
    <v>55.984999999999999</v>
    <v>55.63</v>
    <v>55.19</v>
    <v>55.384999999999998</v>
    <v>55.945</v>
    <v>55.854999999999997</v>
    <v>56.015000000000001</v>
    <v>56.37</v>
    <v>56.65</v>
    <v>56.704999999999998</v>
    <v>56.274999999999999</v>
    <v>56.575000000000003</v>
    <v>56.505000000000003</v>
    <v>56.18</v>
    <v>55.715000000000003</v>
    <v>55.7</v>
    <v>55.805</v>
    <v>55.39</v>
    <v>55.494999999999997</v>
    <v>55.445</v>
    <v>55.72</v>
    <v>55.835000000000001</v>
    <v>55.82</v>
    <v>56.24</v>
    <v>56.59</v>
    <v>56.7</v>
    <v>56.81</v>
    <v>57.195</v>
    <v>57.734999999999999</v>
    <v>59.255000000000003</v>
    <v>59.61</v>
    <v>59.234999999999999</v>
    <v>59.43</v>
    <v>60.055</v>
    <v>60.384999999999998</v>
    <v>60.524999999999999</v>
    <v>60.2</v>
    <v>60.47</v>
    <v>60.774999999999999</v>
    <v>60.54</v>
    <v>60.395000000000003</v>
    <v>60.06</v>
    <v>60.8</v>
    <v>61.76</v>
    <v>62.25</v>
    <v>61.82</v>
    <v>62.335000000000001</v>
    <v>62.76</v>
    <v>63.47</v>
    <v>63.66</v>
    <v>63.884999999999998</v>
    <v>64.010000000000005</v>
    <v>64.290000000000006</v>
    <v>65.844999999999999</v>
    <v>66.48</v>
    <v>67.825000000000003</v>
    <v>66.814999999999998</v>
    <v>66.98</v>
    <v>68.989999999999995</v>
    <v>69.454999999999998</v>
    <v>70.215000000000003</v>
    <v>72.540000000000006</v>
    <v>71.39</v>
    <v>72.459999999999994</v>
    <v>68.290000000000006</v>
    <v>68.215000000000003</v>
    <v>69.34</v>
    <v>68.805000000000007</v>
    <v>66.83</v>
    <v>65.77</v>
    <v>66.504999999999995</v>
    <v>67.174999999999997</v>
    <v>67.58</v>
    <v>67.734999999999999</v>
    <v>66.78</v>
    <v>67.489999999999995</v>
    <v>67.045000000000002</v>
    <v>67.245000000000005</v>
  </a>
  <a r="1" c="249">
    <v>179.39</v>
    <v>180.55</v>
    <v>181.87</v>
    <v>181.48</v>
    <v>177.62</v>
    <v>182.93</v>
    <v>186.01</v>
    <v>185.5</v>
    <v>186.58</v>
    <v>188.15</v>
    <v>187.62</v>
    <v>187.85</v>
    <v>185.56</v>
    <v>188.38</v>
    <v>187.95</v>
    <v>188.06</v>
    <v>188.2</v>
    <v>190.03</v>
    <v>189.71</v>
    <v>187.9</v>
    <v>185.36</v>
    <v>190.46</v>
    <v>189.64</v>
    <v>185.48</v>
    <v>187.18</v>
    <v>185.93</v>
    <v>181.9</v>
    <v>181.38</v>
    <v>181.97</v>
    <v>183.22</v>
    <v>185.39</v>
    <v>187.16</v>
    <v>186.43</v>
    <v>184.54</v>
    <v>184.08</v>
    <v>183.07</v>
    <v>188.75</v>
    <v>188.98</v>
    <v>181.75</v>
    <v>183.74</v>
    <v>178.61</v>
    <v>178.76</v>
    <v>180.03</v>
    <v>181.32</v>
    <v>183.37</v>
    <v>186.41</v>
    <v>185.14</v>
    <v>187.99</v>
    <v>183.82</v>
    <v>185.49</v>
    <v>187.87</v>
    <v>187.14</v>
    <v>190.09</v>
    <v>191.23</v>
    <v>185.51</v>
    <v>186.07</v>
    <v>183.54</v>
    <v>184.92</v>
    <v>183.08</v>
    <v>208.77</v>
    <v>212.51</v>
    <v>209.94</v>
    <v>209.18</v>
    <v>210.09</v>
    <v>208.76</v>
    <v>216.38</v>
    <v>215.18</v>
    <v>215.24</v>
    <v>211.65</v>
    <v>212.02</v>
    <v>207.91</v>
    <v>209.11</v>
    <v>208.21</v>
    <v>211.98</v>
    <v>208.05</v>
    <v>208.55</v>
    <v>214.81</v>
    <v>207.87</v>
    <v>204.33</v>
    <v>201.93</v>
    <v>203.8</v>
    <v>205.33</v>
    <v>203.63</v>
    <v>204.57</v>
    <v>206.5</v>
    <v>204.32</v>
    <v>208.86</v>
    <v>209.63</v>
    <v>213.47</v>
    <v>213.51</v>
    <v>217.95</v>
    <v>215.89</v>
    <v>214.29</v>
    <v>210.47</v>
    <v>207.25</v>
    <v>210.13</v>
    <v>211.1</v>
    <v>208.93</v>
    <v>194.58</v>
    <v>197.53</v>
    <v>196.25</v>
    <v>208.13</v>
    <v>204.41</v>
    <v>212.07</v>
    <v>212.95</v>
    <v>214.6</v>
    <v>211.4</v>
    <v>212.77</v>
    <v>205.16</v>
    <v>209.97</v>
    <v>213.3</v>
    <v>222.69</v>
    <v>225.38</v>
    <v>225.55</v>
    <v>230.71</v>
    <v>233.32</v>
    <v>235.17</v>
    <v>219.5</v>
    <v>225.32</v>
    <v>231.84</v>
    <v>226.34</v>
    <v>225.45</v>
    <v>226.55</v>
    <v>226.25</v>
    <v>226.16</v>
    <v>229.5</v>
    <v>232.34</v>
    <v>226.74</v>
    <v>234.66</v>
    <v>237.5</v>
    <v>226.76</v>
    <v>226.01</v>
    <v>224.99</v>
    <v>226.27</v>
    <v>228.33</v>
    <v>225.39</v>
    <v>226.28</v>
    <v>227.6</v>
    <v>229.65</v>
    <v>229.18</v>
    <v>231.03</v>
    <v>232.72</v>
    <v>233.5</v>
    <v>234.91</v>
    <v>234.74</v>
    <v>234.46</v>
    <v>230.23</v>
    <v>238.6</v>
    <v>237.52</v>
    <v>238.5</v>
    <v>238.37</v>
    <v>241.59</v>
    <v>243.05</v>
    <v>241.64</v>
    <v>239.33</v>
    <v>241.44</v>
    <v>242.85</v>
    <v>240.1</v>
    <v>239.51</v>
    <v>240.11</v>
    <v>242.53</v>
    <v>240.56</v>
    <v>242.23</v>
    <v>235.33</v>
    <v>233.92</v>
    <v>238.46</v>
    <v>237.7</v>
    <v>238.73</v>
    <v>233.92</v>
    <v>231.18</v>
    <v>231.63</v>
    <v>231.07</v>
    <v>228.73</v>
    <v>225.75</v>
    <v>224.75</v>
    <v>226.1</v>
    <v>223.98</v>
    <v>223.81</v>
    <v>222.73</v>
    <v>220.58</v>
    <v>225.99</v>
    <v>225.92</v>
    <v>227.21</v>
    <v>226.49</v>
    <v>217.37</v>
    <v>222.67</v>
    <v>232.56</v>
    <v>236.14</v>
    <v>233.16</v>
    <v>232.18</v>
    <v>232.55</v>
    <v>228.36</v>
    <v>228.67</v>
    <v>227.87</v>
    <v>229.03</v>
    <v>231.83</v>
    <v>230.82</v>
    <v>232.03</v>
    <v>234.9</v>
    <v>233.27</v>
    <v>240.95</v>
    <v>238.86</v>
    <v>240.65</v>
    <v>239.68</v>
    <v>248.78</v>
    <v>247.86</v>
    <v>244.04</v>
    <v>246.54</v>
    <v>246.26</v>
    <v>247.25</v>
    <v>247.73</v>
    <v>250.52</v>
    <v>249.74</v>
    <v>250.85</v>
    <v>251.64</v>
    <v>251.28</v>
    <v>244.12</v>
    <v>245.11</v>
    <v>256.12</v>
    <v>259.95999999999998</v>
    <v>258.36</v>
    <v>255.4</v>
    <v>256.94</v>
    <v>257.68</v>
    <v>256.98</v>
    <v>260.5</v>
    <v>258.07</v>
    <v>256.69</v>
    <v>251.97</v>
    <v>256.68</v>
    <v>257.72000000000003</v>
    <v>261.5</v>
    <v>259.23</v>
    <v>261.35000000000002</v>
    <v>262.29000000000002</v>
    <v>260.27999999999997</v>
    <v>255.56</v>
    <v>254.53</v>
    <v>255.12</v>
    <v>254.27</v>
    <v>251.57</v>
    <v>251.73</v>
    <v>252.78</v>
    <v>256.37</v>
    <v>255.65</v>
    <v>252.43</v>
    <v>254.76</v>
    <v>252.4</v>
    <v>232</v>
  </a>
  <a r="1" c="252">
    <v>596.28</v>
    <v>598.36</v>
    <v>599.9</v>
    <v>599.6</v>
    <v>590.44000000000005</v>
    <v>588.55999999999995</v>
    <v>591.5</v>
    <v>594.22</v>
    <v>602.55999999999995</v>
    <v>606.96</v>
    <v>604.48</v>
    <v>608.96</v>
    <v>600.79999999999995</v>
    <v>603.74</v>
    <v>604.79999999999995</v>
    <v>610.20000000000005</v>
    <v>609.79999999999995</v>
    <v>610.52</v>
    <v>610.54</v>
    <v>611.08000000000004</v>
    <v>608.29999999999995</v>
    <v>607.29999999999995</v>
    <v>615.02</v>
    <v>613.29999999999995</v>
    <v>611.38</v>
    <v>614.16</v>
    <v>610.91999999999996</v>
    <v>603.58000000000004</v>
    <v>603.98</v>
    <v>605.62</v>
    <v>607.26</v>
    <v>604.96</v>
    <v>601.26</v>
    <v>602.76</v>
    <v>611.1</v>
    <v>611.48</v>
    <v>607.66</v>
    <v>607.64</v>
    <v>608.91999999999996</v>
    <v>603.67999999999995</v>
    <v>603.96</v>
    <v>603.28</v>
    <v>613.54</v>
    <v>612.28</v>
    <v>620.04</v>
    <v>615.08000000000004</v>
    <v>615.48</v>
    <v>620.29999999999995</v>
    <v>621.22</v>
    <v>617.08000000000004</v>
    <v>606.64</v>
    <v>618.02</v>
    <v>614.4</v>
    <v>617.96</v>
    <v>619.91999999999996</v>
    <v>619.96</v>
    <v>617</v>
    <v>615.67999999999995</v>
    <v>620.44000000000005</v>
    <v>621.52</v>
    <v>624.26</v>
    <v>622.5</v>
    <v>618.52</v>
    <v>620.08000000000004</v>
    <v>617.91999999999996</v>
    <v>621.08000000000004</v>
    <v>621.84</v>
    <v>626.14</v>
    <v>617.54</v>
    <v>613.28</v>
    <v>610.41999999999996</v>
    <v>602.36</v>
    <v>602.28</v>
    <v>600</v>
    <v>600.02</v>
    <v>591.82000000000005</v>
    <v>583.41999999999996</v>
    <v>575.96</v>
    <v>564.58000000000004</v>
    <v>565.24</v>
    <v>551.34</v>
    <v>544.20000000000005</v>
    <v>545.72</v>
    <v>540.58000000000004</v>
    <v>550.02</v>
    <v>552.62</v>
    <v>546.08000000000004</v>
    <v>553.94000000000005</v>
    <v>553.88</v>
    <v>554.94000000000005</v>
    <v>566.17999999999995</v>
    <v>569.62</v>
    <v>564.34</v>
    <v>562.1</v>
    <v>548</v>
    <v>549.91999999999996</v>
    <v>552.96</v>
    <v>552.55999999999995</v>
    <v>521.46</v>
    <v>498.32</v>
    <v>495.52</v>
    <v>483.06</v>
    <v>532.32000000000005</v>
    <v>500.3</v>
    <v>502.84</v>
    <v>507.88</v>
    <v>509.84</v>
    <v>497.58</v>
    <v>498.87</v>
    <v>487.83</v>
    <v>503.66</v>
    <v>511.94</v>
    <v>516.82000000000005</v>
    <v>515.88</v>
    <v>517.55999999999995</v>
    <v>518.05999999999995</v>
    <v>534.26</v>
    <v>534.46</v>
    <v>524.34</v>
    <v>527.79999999999995</v>
    <v>541.24</v>
    <v>534.58000000000004</v>
    <v>560.29999999999995</v>
    <v>561.55999999999995</v>
    <v>560.76</v>
    <v>563.94000000000005</v>
    <v>568.08000000000004</v>
    <v>565.54</v>
    <v>562.22</v>
    <v>548.66</v>
    <v>554</v>
    <v>544.98</v>
    <v>549.94000000000005</v>
    <v>555.54</v>
    <v>557.46</v>
    <v>553.54</v>
    <v>550.38</v>
    <v>552.29999999999995</v>
    <v>559.72</v>
    <v>557.52</v>
    <v>556.17999999999995</v>
    <v>560.64</v>
    <v>561.05999999999995</v>
    <v>562.58000000000004</v>
    <v>559.34</v>
    <v>556.22</v>
    <v>554.05999999999995</v>
    <v>555.94000000000005</v>
    <v>555.96</v>
    <v>555.48</v>
    <v>551.76</v>
    <v>551.64</v>
    <v>554.41999999999996</v>
    <v>559.91999999999996</v>
    <v>558.12</v>
    <v>557.84</v>
    <v>562.17999999999995</v>
    <v>560.24</v>
    <v>561.67999999999995</v>
    <v>562.02</v>
    <v>568.79999999999995</v>
    <v>564.79999999999995</v>
    <v>566.86</v>
    <v>566.62</v>
    <v>569.17999999999995</v>
    <v>573.48</v>
    <v>571.6</v>
    <v>572.96</v>
    <v>575</v>
    <v>572.28</v>
    <v>579.14</v>
    <v>577.54</v>
    <v>578.05999999999995</v>
    <v>573</v>
    <v>575.79999999999995</v>
    <v>577.88</v>
    <v>581.14</v>
    <v>587.34</v>
    <v>589.12</v>
    <v>593.08000000000004</v>
    <v>594.58000000000004</v>
    <v>576.64</v>
    <v>583.22</v>
    <v>581.34</v>
    <v>580.96</v>
    <v>579.66</v>
    <v>585.08000000000004</v>
    <v>585.29999999999995</v>
    <v>588.98</v>
    <v>588.86</v>
    <v>593.08000000000004</v>
    <v>589.08000000000004</v>
    <v>589.58000000000004</v>
    <v>587.6</v>
    <v>585.96</v>
    <v>584.32000000000005</v>
    <v>588.74</v>
    <v>593.05999999999995</v>
    <v>591.28</v>
    <v>594.38</v>
    <v>594.52</v>
    <v>588.9</v>
    <v>590.36</v>
    <v>586.34</v>
    <v>588.5</v>
    <v>594.74</v>
    <v>588.9</v>
    <v>589.84</v>
    <v>592.86</v>
    <v>596.16</v>
    <v>599.34</v>
    <v>599.94000000000005</v>
    <v>599.86</v>
    <v>594.84</v>
    <v>594.54</v>
    <v>601.44000000000005</v>
    <v>604.9</v>
    <v>606.38</v>
    <v>602.78</v>
    <v>604.38</v>
    <v>604.67999999999995</v>
    <v>606.48</v>
    <v>606.6</v>
    <v>604.04</v>
    <v>611.02</v>
    <v>611.98</v>
    <v>611.86</v>
    <v>615.70000000000005</v>
    <v>615.66</v>
    <v>621.94000000000005</v>
    <v>621.94000000000005</v>
    <v>605</v>
    <v>614.62</v>
    <v>614.58000000000004</v>
    <v>609.74</v>
    <v>605.70000000000005</v>
    <v>608.16</v>
    <v>619.02</v>
    <v>621.5</v>
    <v>617.26</v>
    <v>620.6</v>
    <v>625.74</v>
    <v>630.48</v>
    <v>632.67999999999995</v>
    <v>634.22</v>
    <v>633.05999999999995</v>
    <v>634.88</v>
    <v>636.1</v>
    <v>631.82000000000005</v>
    <v>635.22</v>
    <v>625.28</v>
    <v>621.16</v>
  </a>
  <a r="1" c="249">
    <v>145.26</v>
    <v>148.29</v>
    <v>146.27000000000001</v>
    <v>146.76</v>
    <v>141.97999999999999</v>
    <v>140.15</v>
    <v>147.01</v>
    <v>145.88999999999999</v>
    <v>146.66999999999999</v>
    <v>141.94999999999999</v>
    <v>136.02000000000001</v>
    <v>136.91999999999999</v>
    <v>135.34</v>
    <v>138.25</v>
    <v>138.63</v>
    <v>140.26</v>
    <v>145.13999999999999</v>
    <v>145.06</v>
    <v>142.44</v>
    <v>138.81</v>
    <v>135.07</v>
    <v>139.31</v>
    <v>137.34</v>
    <v>134.25</v>
    <v>132</v>
    <v>130.38999999999999</v>
    <v>128.91</v>
    <v>130.68</v>
    <v>134.69999999999999</v>
    <v>139.66999999999999</v>
    <v>140.22</v>
    <v>139.93</v>
    <v>137.01</v>
    <v>137.49</v>
    <v>134.29</v>
    <v>138.31</v>
    <v>144.47</v>
    <v>149.43</v>
    <v>140.13999999999999</v>
    <v>140.11000000000001</v>
    <v>135.91</v>
    <v>133.22999999999999</v>
    <v>131.76</v>
    <v>136.24</v>
    <v>133.57</v>
    <v>137.71</v>
    <v>140.83000000000001</v>
    <v>147.07</v>
    <v>147.22</v>
    <v>142.62</v>
    <v>118.42</v>
    <v>128.99</v>
    <v>123.7</v>
    <v>124.65</v>
    <v>120.07</v>
    <v>116.66</v>
    <v>118.65</v>
    <v>124.83</v>
    <v>128.68</v>
    <v>129.84</v>
    <v>133.57</v>
    <v>132.80000000000001</v>
    <v>131.13999999999999</v>
    <v>135.29</v>
    <v>138.85</v>
    <v>139.4</v>
    <v>139.22999999999999</v>
    <v>140.11000000000001</v>
    <v>134.43</v>
    <v>130.28</v>
    <v>126.63</v>
    <v>131.28</v>
    <v>120.15</v>
    <v>124.92</v>
    <v>114.06</v>
    <v>115.99</v>
    <v>117.3</v>
    <v>110.57</v>
    <v>112.69</v>
    <v>106.98</v>
    <v>108.76</v>
    <v>115.74</v>
    <v>115.58</v>
    <v>121.67</v>
    <v>119.53</v>
    <v>115.43</v>
    <v>117.52</v>
    <v>118.53</v>
    <v>117.7</v>
    <v>121.41</v>
    <v>120.69</v>
    <v>113.76</v>
    <v>111.43</v>
    <v>109.67</v>
    <v>108.38</v>
    <v>110.15</v>
    <v>110.42</v>
    <v>101.8</v>
    <v>94.31</v>
    <v>97.64</v>
    <v>96.3</v>
    <v>114.33</v>
    <v>107.57</v>
    <v>110.93</v>
    <v>110.71</v>
    <v>112.2</v>
    <v>104.49</v>
    <v>101.49</v>
    <v>96.91</v>
    <v>98.89</v>
    <v>102.71</v>
    <v>106.43</v>
    <v>111.01</v>
    <v>108.73</v>
    <v>109.02</v>
    <v>108.92</v>
    <v>111.61</v>
    <v>114.5</v>
    <v>113.82</v>
    <v>113.54</v>
    <v>117.06</v>
    <v>117.37</v>
    <v>116.65</v>
    <v>123</v>
    <v>129.93</v>
    <v>135.34</v>
    <v>134.83000000000001</v>
    <v>135.4</v>
    <v>135.57</v>
    <v>134.38</v>
    <v>131.80000000000001</v>
    <v>132.83000000000001</v>
    <v>131.29</v>
    <v>135.5</v>
    <v>134.81</v>
    <v>139.19</v>
    <v>135.13</v>
    <v>137.38</v>
    <v>141.22</v>
    <v>141.91999999999999</v>
    <v>139.99</v>
    <v>141.72</v>
    <v>142.63</v>
    <v>143.96</v>
    <v>142.83000000000001</v>
    <v>145</v>
    <v>141.97</v>
    <v>144.69</v>
    <v>144.12</v>
    <v>145.47999999999999</v>
    <v>143.85</v>
    <v>144.16999999999999</v>
    <v>147.9</v>
    <v>154.31</v>
    <v>155.02000000000001</v>
    <v>157.75</v>
    <v>157.99</v>
    <v>153.30000000000001</v>
    <v>157.25</v>
    <v>159.34</v>
    <v>158.24</v>
    <v>160</v>
    <v>162.88</v>
    <v>164.1</v>
    <v>164.92</v>
    <v>164.07</v>
    <v>170.7</v>
    <v>171.37</v>
    <v>173</v>
    <v>172.41</v>
    <v>171.38</v>
    <v>167.03</v>
    <v>170.78</v>
    <v>173.74</v>
    <v>173.5</v>
    <v>176.75</v>
    <v>175.51</v>
    <v>179.27</v>
    <v>177.87</v>
    <v>173.72</v>
    <v>180</v>
    <v>178.26</v>
    <v>179.42</v>
    <v>180.77</v>
    <v>182.7</v>
    <v>182.06</v>
    <v>183.16</v>
    <v>181.59</v>
    <v>182.02</v>
    <v>180.45</v>
    <v>182.01</v>
    <v>175.64</v>
    <v>175.4</v>
    <v>174.98</v>
    <v>177.99</v>
    <v>179.81</v>
    <v>181.77</v>
    <v>181.6</v>
    <v>180.17</v>
    <v>174.18</v>
    <v>170.78</v>
    <v>170.62</v>
    <v>171.66</v>
    <v>167.02</v>
    <v>168.31</v>
    <v>170.76</v>
    <v>177.33</v>
    <v>177.17</v>
    <v>177.82</v>
    <v>177.75</v>
    <v>174.88</v>
    <v>170.29</v>
    <v>176.24</v>
    <v>176.67</v>
    <v>183.61</v>
    <v>178.43</v>
    <v>176.97</v>
    <v>177.69</v>
    <v>178.19</v>
    <v>181.85</v>
    <v>186.58</v>
    <v>187.24</v>
    <v>188.89</v>
    <v>187.62</v>
    <v>185.54</v>
    <v>185.04</v>
    <v>189.11</v>
    <v>192.57</v>
    <v>183.16</v>
    <v>188.32</v>
    <v>180.03</v>
    <v>179.83</v>
    <v>181.81</v>
    <v>183.22</v>
    <v>182.64</v>
    <v>181.16</v>
    <v>180.28</v>
    <v>182.16</v>
    <v>186.26</v>
    <v>191.49</v>
    <v>201.03</v>
    <v>207.04</v>
    <v>202.89</v>
    <v>202.49</v>
    <v>206.88</v>
    <v>198.69</v>
    <v>195.21</v>
    <v>188.08</v>
    <v>188.15</v>
  </a>
  <a r="1" c="254">
    <v t="i">2</v>
    <v t="i">3</v>
    <v t="i">4</v>
    <v t="i">5</v>
    <v t="i">6</v>
    <v t="i">9</v>
    <v t="i">10</v>
    <v t="i">11</v>
    <v t="i">12</v>
    <v t="i">13</v>
    <v t="i">16</v>
    <v t="i">17</v>
    <v t="i">18</v>
    <v t="i">19</v>
    <v t="i">20</v>
    <v t="i">23</v>
    <v t="i">24</v>
    <v t="i">25</v>
    <v t="i">26</v>
    <v t="i">27</v>
    <v t="i">30</v>
    <v t="i">31</v>
    <v t="i">32</v>
    <v t="i">33</v>
    <v t="i">34</v>
    <v t="i">37</v>
    <v t="i">38</v>
    <v t="i">39</v>
    <v t="i">40</v>
    <v t="i">41</v>
    <v t="i">44</v>
    <v t="i">45</v>
    <v t="i">48</v>
    <v t="i">51</v>
    <v t="i">52</v>
    <v t="i">54</v>
    <v t="i">55</v>
    <v t="i">58</v>
    <v t="i">59</v>
    <v t="i">60</v>
    <v t="i">61</v>
    <v t="i">62</v>
    <v t="i">65</v>
    <v t="i">66</v>
    <v t="i">67</v>
    <v t="i">68</v>
    <v t="i">69</v>
    <v t="i">72</v>
    <v t="i">73</v>
    <v t="i">74</v>
    <v t="i">75</v>
    <v t="i">76</v>
    <v t="i">79</v>
    <v t="i">80</v>
    <v t="i">81</v>
    <v t="i">82</v>
    <v t="i">83</v>
    <v t="i">86</v>
    <v t="i">87</v>
    <v t="i">88</v>
    <v t="i">89</v>
    <v t="i">90</v>
    <v t="i">93</v>
    <v t="i">94</v>
    <v t="i">95</v>
    <v t="i">96</v>
    <v t="i">97</v>
    <v t="i">100</v>
    <v t="i">101</v>
    <v t="i">102</v>
    <v t="i">103</v>
    <v t="i">104</v>
    <v t="i">107</v>
    <v t="i">108</v>
    <v t="i">109</v>
    <v t="i">110</v>
    <v t="i">111</v>
    <v t="i">114</v>
    <v t="i">115</v>
    <v t="i">116</v>
    <v t="i">117</v>
    <v t="i">118</v>
    <v t="i">121</v>
    <v t="i">122</v>
    <v t="i">123</v>
    <v t="i">124</v>
    <v t="i">125</v>
    <v t="i">128</v>
    <v t="i">129</v>
    <v t="i">130</v>
    <v t="i">131</v>
    <v t="i">132</v>
    <v t="i">135</v>
    <v t="i">136</v>
    <v t="i">137</v>
    <v t="i">138</v>
    <v t="i">139</v>
    <v t="i">142</v>
    <v t="i">143</v>
    <v t="i">144</v>
    <v t="i">145</v>
    <v t="i">146</v>
    <v t="i">149</v>
    <v t="i">150</v>
    <v t="i">151</v>
    <v t="i">152</v>
    <v t="i">153</v>
    <v t="i">156</v>
    <v t="i">157</v>
    <v t="i">158</v>
    <v t="i">159</v>
    <v t="i">164</v>
    <v t="i">165</v>
    <v t="i">166</v>
    <v t="i">167</v>
    <v t="i">170</v>
    <v t="i">171</v>
    <v t="i">172</v>
    <v t="i">174</v>
    <v t="i">177</v>
    <v t="i">178</v>
    <v t="i">179</v>
    <v t="i">180</v>
    <v t="i">181</v>
    <v t="i">184</v>
    <v t="i">185</v>
    <v t="i">186</v>
    <v t="i">187</v>
    <v t="i">188</v>
    <v t="i">191</v>
    <v t="i">192</v>
    <v t="i">193</v>
    <v t="i">194</v>
    <v t="i">195</v>
    <v t="i">198</v>
    <v t="i">199</v>
    <v t="i">200</v>
    <v t="i">201</v>
    <v t="i">202</v>
    <v t="i">205</v>
    <v t="i">206</v>
    <v t="i">207</v>
    <v t="i">208</v>
    <v t="i">209</v>
    <v t="i">212</v>
    <v t="i">213</v>
    <v t="i">214</v>
    <v t="i">215</v>
    <v t="i">216</v>
    <v t="i">219</v>
    <v t="i">220</v>
    <v t="i">221</v>
    <v t="i">222</v>
    <v t="i">223</v>
    <v t="i">226</v>
    <v t="i">227</v>
    <v t="i">228</v>
    <v t="i">229</v>
    <v t="i">230</v>
    <v t="i">233</v>
    <v t="i">234</v>
    <v t="i">235</v>
    <v t="i">236</v>
    <v t="i">237</v>
    <v t="i">240</v>
    <v t="i">241</v>
    <v t="i">242</v>
    <v t="i">243</v>
    <v t="i">244</v>
    <v t="i">247</v>
    <v t="i">248</v>
    <v t="i">249</v>
    <v t="i">250</v>
    <v t="i">251</v>
    <v t="i">254</v>
    <v t="i">255</v>
    <v t="i">256</v>
    <v t="i">257</v>
    <v t="i">258</v>
    <v t="i">261</v>
    <v t="i">262</v>
    <v t="i">263</v>
    <v t="i">264</v>
    <v t="i">265</v>
    <v t="i">268</v>
    <v t="i">269</v>
    <v t="i">270</v>
    <v t="i">271</v>
    <v t="i">272</v>
    <v t="i">275</v>
    <v t="i">276</v>
    <v t="i">277</v>
    <v t="i">278</v>
    <v t="i">279</v>
    <v t="i">282</v>
    <v t="i">283</v>
    <v t="i">284</v>
    <v t="i">285</v>
    <v t="i">286</v>
    <v t="i">289</v>
    <v t="i">290</v>
    <v t="i">291</v>
    <v t="i">292</v>
    <v t="i">293</v>
    <v t="i">296</v>
    <v t="i">297</v>
    <v t="i">298</v>
    <v t="i">299</v>
    <v t="i">300</v>
    <v t="i">303</v>
    <v t="i">304</v>
    <v t="i">305</v>
    <v t="i">306</v>
    <v t="i">307</v>
    <v t="i">310</v>
    <v t="i">311</v>
    <v t="i">312</v>
    <v t="i">313</v>
    <v t="i">314</v>
    <v t="i">317</v>
    <v t="i">318</v>
    <v t="i">319</v>
    <v t="i">320</v>
    <v t="i">321</v>
    <v t="i">324</v>
    <v t="i">325</v>
    <v t="i">326</v>
    <v t="i">327</v>
    <v t="i">328</v>
    <v t="i">331</v>
    <v t="i">332</v>
    <v t="i">333</v>
    <v t="i">334</v>
    <v t="i">335</v>
    <v t="i">338</v>
    <v t="i">339</v>
    <v t="i">340</v>
    <v t="i">341</v>
    <v t="i">342</v>
    <v t="i">345</v>
    <v t="i">346</v>
    <v t="i">347</v>
    <v t="i">348</v>
    <v t="i">349</v>
    <v t="i">352</v>
    <v t="i">353</v>
    <v t="i">354</v>
    <v t="i">355</v>
    <v t="i">356</v>
    <v t="i">359</v>
    <v t="i">360</v>
    <v t="i">361</v>
    <v t="i">362</v>
    <v t="i">363</v>
  </a>
  <a r="1" c="254">
    <v>60.94</v>
    <v>59.38</v>
    <v>59.12</v>
    <v>59.47</v>
    <v>60.11</v>
    <v>60.42</v>
    <v>59.31</v>
    <v>58.49</v>
    <v>58.22</v>
    <v>56.92</v>
    <v>56.98</v>
    <v>56.3</v>
    <v>55.63</v>
    <v>56.14</v>
    <v>56.64</v>
    <v>55.94</v>
    <v>55.78</v>
    <v>56.5</v>
    <v>57.97</v>
    <v>58.57</v>
    <v>60.06</v>
    <v>59.7</v>
    <v>59.59</v>
    <v>58.92</v>
    <v>58.94</v>
    <v>58.82</v>
    <v>58.25</v>
    <v>58.63</v>
    <v>57.81</v>
    <v>57.48</v>
    <v>57.44</v>
    <v>57.54</v>
    <v>58.54</v>
    <v>58.73</v>
    <v>59.22</v>
    <v>59.25</v>
    <v>58.49</v>
    <v>60.03</v>
    <v>60.4</v>
    <v>60.14</v>
    <v>59.95</v>
    <v>59.35</v>
    <v>59.64</v>
    <v>60.81</v>
    <v>62.08</v>
    <v>62.21</v>
    <v>62.24</v>
    <v>62.95</v>
    <v>63.11</v>
    <v>62.31</v>
    <v>63.38</v>
    <v>63.61</v>
    <v>64.23</v>
    <v>64.58</v>
    <v>64.67</v>
    <v>65.66</v>
    <v>65.72</v>
    <v>64.319999999999993</v>
    <v>67.05</v>
    <v>66.400000000000006</v>
    <v>68.260000000000005</v>
    <v>69.45</v>
    <v>69.489999999999995</v>
    <v>70.13</v>
    <v>70.94</v>
    <v>70.099999999999994</v>
    <v>69.95</v>
    <v>69.83</v>
    <v>71.09</v>
    <v>70.3</v>
    <v>70.87</v>
    <v>71.12</v>
    <v>71.08</v>
    <v>72.11</v>
    <v>72.72</v>
    <v>72.61</v>
    <v>72.86</v>
    <v>74.02</v>
    <v>71.69</v>
    <v>74.66</v>
    <v>77.17</v>
    <v>76.569999999999993</v>
    <v>74.44</v>
    <v>72.959999999999994</v>
    <v>73.69</v>
    <v>73.55</v>
    <v>75.72</v>
    <v>77.91</v>
    <v>80.209999999999994</v>
    <v>80.86</v>
    <v>79.05</v>
    <v>79.72</v>
    <v>79.430000000000007</v>
    <v>81.58</v>
    <v>80.400000000000006</v>
    <v>79.67</v>
    <v>78.55</v>
    <v>76.91</v>
    <v>78.489999999999995</v>
    <v>77.75</v>
    <v>73.7</v>
    <v>68.67</v>
    <v>66.099999999999994</v>
    <v>66.19</v>
    <v>63.78</v>
    <v>67.23</v>
    <v>65.61</v>
    <v>68.5</v>
    <v>70.58</v>
    <v>71.58</v>
    <v>70.739999999999995</v>
    <v>71.62</v>
    <v>73.819999999999993</v>
    <v>72.23</v>
    <v>72.81</v>
    <v>74.099999999999994</v>
    <v>74.8</v>
    <v>74.290000000000006</v>
    <v>76.36</v>
    <v>76.36</v>
    <v>76</v>
    <v>76.02</v>
    <v>77</v>
    <v>77.5</v>
    <v>79.05</v>
    <v>79.08</v>
    <v>79.92</v>
    <v>79.599999999999994</v>
    <v>79.39</v>
    <v>77.150000000000006</v>
    <v>77.64</v>
    <v>77.94</v>
    <v>77.5</v>
    <v>75.84</v>
    <v>77.22</v>
    <v>77.42</v>
    <v>76.58</v>
    <v>76.83</v>
    <v>77.14</v>
    <v>76.709999999999994</v>
    <v>77.22</v>
    <v>76.64</v>
    <v>77.5</v>
    <v>78.14</v>
    <v>78.489999999999995</v>
    <v>76.290000000000006</v>
    <v>76.22</v>
    <v>76.48</v>
    <v>75.28</v>
    <v>77.5</v>
    <v>75.97</v>
    <v>76.569999999999993</v>
    <v>74.64</v>
    <v>74.3</v>
    <v>73.08</v>
    <v>75.38</v>
    <v>75.209999999999994</v>
    <v>75.27</v>
    <v>76.900000000000006</v>
    <v>76.319999999999993</v>
    <v>75.2</v>
    <v>76.63</v>
    <v>76.58</v>
    <v>74.88</v>
    <v>75.94</v>
    <v>76.41</v>
    <v>78.87</v>
    <v>77.91</v>
    <v>76.599999999999994</v>
    <v>76.680000000000007</v>
    <v>76.23</v>
    <v>76.08</v>
    <v>77.150000000000006</v>
    <v>77.84</v>
    <v>77.739999999999995</v>
    <v>77.08</v>
    <v>78.48</v>
    <v>78.790000000000006</v>
    <v>78.87</v>
    <v>77.38</v>
    <v>78.48</v>
    <v>79.069999999999993</v>
    <v>80.06</v>
    <v>76.53</v>
    <v>78.5</v>
    <v>78.38</v>
    <v>79.3</v>
    <v>79.5</v>
    <v>81.5</v>
    <v>81.55</v>
    <v>81.75</v>
    <v>82.94</v>
    <v>83.94</v>
    <v>83.7</v>
    <v>82.29</v>
    <v>82.86</v>
    <v>83.31</v>
    <v>82.72</v>
    <v>83.38</v>
    <v>80.430000000000007</v>
    <v>77.03</v>
    <v>76.53</v>
    <v>76.900000000000006</v>
    <v>76.83</v>
    <v>77.05</v>
    <v>75.94</v>
    <v>76.19</v>
    <v>77.56</v>
    <v>76.52</v>
    <v>76.7</v>
    <v>77.87</v>
    <v>78.16</v>
    <v>79.41</v>
    <v>79.3</v>
    <v>80.33</v>
    <v>79.17</v>
    <v>77.67</v>
    <v>78.39</v>
    <v>79.599999999999994</v>
    <v>78.680000000000007</v>
    <v>78.930000000000007</v>
    <v>78.22</v>
    <v>78.430000000000007</v>
    <v>77.540000000000006</v>
    <v>77.45</v>
    <v>77.33</v>
    <v>78.34</v>
    <v>77.53</v>
    <v>78</v>
    <v>75.5</v>
    <v>74.63</v>
    <v>75.2</v>
    <v>75.540000000000006</v>
    <v>75.5</v>
    <v>75.44</v>
    <v>75.75</v>
    <v>76.83</v>
    <v>77.98</v>
    <v>74.89</v>
    <v>69.099999999999994</v>
    <v>67.930000000000007</v>
    <v>68.37</v>
    <v>68.72</v>
    <v>68.48</v>
    <v>69.19</v>
    <v>66.739999999999995</v>
    <v>66.94</v>
    <v>66.47</v>
    <v>67.06</v>
    <v>66</v>
    <v>66</v>
    <v>65.98</v>
    <v>65.34</v>
    <v>65.489999999999995</v>
  </a>
  <a r="1" c="249">
    <v>206.84</v>
    <v>208.91</v>
    <v>214.1</v>
    <v>211.48</v>
    <v>202.61</v>
    <v>201.7</v>
    <v>204.61</v>
    <v>202.88</v>
    <v>198.38</v>
    <v>197.12</v>
    <v>201.45</v>
    <v>207.86</v>
    <v>205.74</v>
    <v>207.89</v>
    <v>210.71</v>
    <v>213.44</v>
    <v>218.16</v>
    <v>220.55</v>
    <v>227.03</v>
    <v>226.09</v>
    <v>225.04</v>
    <v>230.26</v>
    <v>228.97</v>
    <v>227.46</v>
    <v>232.93</v>
    <v>231.15</v>
    <v>220.52</v>
    <v>223.29</v>
    <v>224.92</v>
    <v>225.06</v>
    <v>229.05</v>
    <v>227.05</v>
    <v>223.75</v>
    <v>221.3</v>
    <v>219.39</v>
    <v>220.22</v>
    <v>224.19</v>
    <v>227.61</v>
    <v>222.11</v>
    <v>222.13</v>
    <v>218.94</v>
    <v>218.46</v>
    <v>217.76</v>
    <v>223.35</v>
    <v>220.66</v>
    <v>225.94</v>
    <v>230.71</v>
    <v>235.01</v>
    <v>235.42</v>
    <v>234.85</v>
    <v>235.42</v>
    <v>238.15</v>
    <v>237.07</v>
    <v>234.64</v>
    <v>237.68</v>
    <v>237.42</v>
    <v>242.06</v>
    <v>236.17</v>
    <v>238.83</v>
    <v>229.15</v>
    <v>233.14</v>
    <v>232.76</v>
    <v>228.93</v>
    <v>230.37</v>
    <v>228.68</v>
    <v>226.65</v>
    <v>226.63</v>
    <v>222.88</v>
    <v>216.58</v>
    <v>212.71</v>
    <v>212.8</v>
    <v>214.35</v>
    <v>208.74</v>
    <v>212.28</v>
    <v>205.02</v>
    <v>203.8</v>
    <v>208.36</v>
    <v>200.7</v>
    <v>199.25</v>
    <v>194.54</v>
    <v>196.59</v>
    <v>198.89</v>
    <v>193.89</v>
    <v>197.95</v>
    <v>195.74</v>
    <v>192.82</v>
    <v>195.54</v>
    <v>194.95</v>
    <v>196.21</v>
    <v>203.26</v>
    <v>205.71</v>
    <v>201.13</v>
    <v>201.36</v>
    <v>192.72</v>
    <v>190.26</v>
    <v>192.17</v>
    <v>196.01</v>
    <v>178.41</v>
    <v>171</v>
    <v>175.26</v>
    <v>170.66</v>
    <v>191.1</v>
    <v>181.22</v>
    <v>184.87</v>
    <v>182.12</v>
    <v>179.59</v>
    <v>174.33</v>
    <v>172.61</v>
    <v>167.32</v>
    <v>173.18</v>
    <v>180.6</v>
    <v>186.54</v>
    <v>188.99</v>
    <v>187.7</v>
    <v>187.39</v>
    <v>184.42</v>
    <v>190.2</v>
    <v>189.98</v>
    <v>186.35</v>
    <v>185.01</v>
    <v>188.71</v>
    <v>192.08</v>
    <v>193.06</v>
    <v>208.64</v>
    <v>211.37</v>
    <v>210.25</v>
    <v>205.17</v>
    <v>205.59</v>
    <v>206.16</v>
    <v>204.07</v>
    <v>201.12</v>
    <v>203.1</v>
    <v>200.99</v>
    <v>206.02</v>
    <v>204.72</v>
    <v>205.7</v>
    <v>205.01</v>
    <v>206.65</v>
    <v>205.71</v>
    <v>207.23</v>
    <v>207.91</v>
    <v>213.57</v>
    <v>216.98</v>
    <v>217.61</v>
    <v>213.2</v>
    <v>213.24</v>
    <v>212.1</v>
    <v>216.1</v>
    <v>214.82</v>
    <v>212.52</v>
    <v>209.69</v>
    <v>208.47</v>
    <v>212.77</v>
    <v>211.99</v>
    <v>217.12</v>
    <v>223.3</v>
    <v>219.39</v>
    <v>220.46</v>
    <v>219.92</v>
    <v>223.41</v>
    <v>223.47</v>
    <v>219.36</v>
    <v>222.54</v>
    <v>222.26</v>
    <v>225.02</v>
    <v>225.69</v>
    <v>226.35</v>
    <v>223.19</v>
    <v>223.88</v>
    <v>226.13</v>
    <v>229.3</v>
    <v>227.47</v>
    <v>228.29</v>
    <v>232.23</v>
    <v>231.44</v>
    <v>232.79</v>
    <v>231.01</v>
    <v>230.19</v>
    <v>234.11</v>
    <v>214.75</v>
    <v>211.65</v>
    <v>213.75</v>
    <v>222.31</v>
    <v>223.13</v>
    <v>222.69</v>
    <v>221.3</v>
    <v>221.47</v>
    <v>224.56</v>
    <v>230.98</v>
    <v>231.03</v>
    <v>231.49</v>
    <v>228.01</v>
    <v>223.81</v>
    <v>221.95</v>
    <v>228.84</v>
    <v>227.94</v>
    <v>228.71</v>
    <v>229.12</v>
    <v>231.6</v>
    <v>229</v>
    <v>225.34</v>
    <v>225.99</v>
    <v>235.68</v>
    <v>232.33</v>
    <v>235.84</v>
    <v>238.24</v>
    <v>230.33</v>
    <v>229.95</v>
    <v>228.15</v>
    <v>231.43</v>
    <v>234.05</v>
    <v>231.62</v>
    <v>231.23</v>
    <v>231.48</v>
    <v>227.63</v>
    <v>220.71</v>
    <v>220.21</v>
    <v>218.15</v>
    <v>219.78</v>
    <v>222.17</v>
    <v>219.57</v>
    <v>220.63</v>
    <v>222.41</v>
    <v>219.51</v>
    <v>220.9</v>
    <v>221.78</v>
    <v>225.22</v>
    <v>227.74</v>
    <v>216.37</v>
    <v>220.07</v>
    <v>216.39</v>
    <v>215.57</v>
    <v>214.47</v>
    <v>213.04</v>
    <v>216.48</v>
    <v>222.03</v>
    <v>217.95</v>
    <v>221.09</v>
    <v>224.21</v>
    <v>226.97</v>
    <v>229.25</v>
    <v>230.3</v>
    <v>222.86</v>
    <v>244.22</v>
    <v>254</v>
    <v>249.32</v>
    <v>250.2</v>
    <v>243.04</v>
    <v>244.41</v>
  </a>
</arrayData>
</file>

<file path=xl/richData/rdrichvalue.xml><?xml version="1.0" encoding="utf-8"?>
<rvData xmlns="http://schemas.microsoft.com/office/spreadsheetml/2017/richdata" count="1949">
  <rv s="0">
    <v>0</v>
    <v>1</v>
    <v>EUR/USD</v>
    <v>3</v>
    <v>4</v>
    <v>Finance</v>
    <v>5</v>
    <v>fr-FR</v>
    <v>av932w</v>
    <v>268435456</v>
    <v>1</v>
    <v>Avec Refinitiv</v>
    <v>1.1561999999999999</v>
    <v>1.0176000000000001</v>
    <v>1.1547000000000001</v>
    <v>EURUSD</v>
    <v>EUR</v>
    <v>45970.884918981479</v>
    <v>USD</v>
    <v>1.157</v>
    <v>1.1918</v>
    <v>1.039E-3</v>
    <v>1.1999999999999999E-3</v>
    <v>Euro/US Dollar FX Spot Rate</v>
    <v>1.1565000000000001</v>
    <v>1.1558999999999999</v>
    <v>Paire de devises</v>
    <v>EUR/USD</v>
  </rv>
  <rv s="1">
    <v>0</v>
  </rv>
  <rv s="2">
    <fb>45607</fb>
    <v>6</v>
  </rv>
  <rv s="2">
    <fb>45608</fb>
    <v>6</v>
  </rv>
  <rv s="2">
    <fb>45609</fb>
    <v>6</v>
  </rv>
  <rv s="2">
    <fb>45610</fb>
    <v>6</v>
  </rv>
  <rv s="2">
    <fb>45611</fb>
    <v>6</v>
  </rv>
  <rv s="2">
    <fb>45614</fb>
    <v>6</v>
  </rv>
  <rv s="2">
    <fb>45615</fb>
    <v>6</v>
  </rv>
  <rv s="2">
    <fb>45616</fb>
    <v>6</v>
  </rv>
  <rv s="2">
    <fb>45617</fb>
    <v>6</v>
  </rv>
  <rv s="2">
    <fb>45618</fb>
    <v>6</v>
  </rv>
  <rv s="2">
    <fb>45621</fb>
    <v>6</v>
  </rv>
  <rv s="2">
    <fb>45622</fb>
    <v>6</v>
  </rv>
  <rv s="2">
    <fb>45623</fb>
    <v>6</v>
  </rv>
  <rv s="2">
    <fb>45625</fb>
    <v>6</v>
  </rv>
  <rv s="2">
    <fb>45628</fb>
    <v>6</v>
  </rv>
  <rv s="2">
    <fb>45629</fb>
    <v>6</v>
  </rv>
  <rv s="2">
    <fb>45630</fb>
    <v>6</v>
  </rv>
  <rv s="2">
    <fb>45631</fb>
    <v>6</v>
  </rv>
  <rv s="2">
    <fb>45632</fb>
    <v>6</v>
  </rv>
  <rv s="2">
    <fb>45635</fb>
    <v>6</v>
  </rv>
  <rv s="2">
    <fb>45636</fb>
    <v>6</v>
  </rv>
  <rv s="2">
    <fb>45637</fb>
    <v>6</v>
  </rv>
  <rv s="2">
    <fb>45638</fb>
    <v>6</v>
  </rv>
  <rv s="2">
    <fb>45639</fb>
    <v>6</v>
  </rv>
  <rv s="2">
    <fb>45642</fb>
    <v>6</v>
  </rv>
  <rv s="2">
    <fb>45643</fb>
    <v>6</v>
  </rv>
  <rv s="2">
    <fb>45644</fb>
    <v>6</v>
  </rv>
  <rv s="2">
    <fb>45645</fb>
    <v>6</v>
  </rv>
  <rv s="2">
    <fb>45646</fb>
    <v>6</v>
  </rv>
  <rv s="2">
    <fb>45649</fb>
    <v>6</v>
  </rv>
  <rv s="2">
    <fb>45650</fb>
    <v>6</v>
  </rv>
  <rv s="2">
    <fb>45652</fb>
    <v>6</v>
  </rv>
  <rv s="2">
    <fb>45653</fb>
    <v>6</v>
  </rv>
  <rv s="2">
    <fb>45656</fb>
    <v>6</v>
  </rv>
  <rv s="2">
    <fb>45657</fb>
    <v>6</v>
  </rv>
  <rv s="2">
    <fb>45659</fb>
    <v>6</v>
  </rv>
  <rv s="2">
    <fb>45660</fb>
    <v>6</v>
  </rv>
  <rv s="2">
    <fb>45663</fb>
    <v>6</v>
  </rv>
  <rv s="2">
    <fb>45664</fb>
    <v>6</v>
  </rv>
  <rv s="2">
    <fb>45665</fb>
    <v>6</v>
  </rv>
  <rv s="2">
    <fb>45667</fb>
    <v>6</v>
  </rv>
  <rv s="2">
    <fb>45670</fb>
    <v>6</v>
  </rv>
  <rv s="2">
    <fb>45671</fb>
    <v>6</v>
  </rv>
  <rv s="2">
    <fb>45672</fb>
    <v>6</v>
  </rv>
  <rv s="2">
    <fb>45673</fb>
    <v>6</v>
  </rv>
  <rv s="2">
    <fb>45674</fb>
    <v>6</v>
  </rv>
  <rv s="2">
    <fb>45678</fb>
    <v>6</v>
  </rv>
  <rv s="2">
    <fb>45679</fb>
    <v>6</v>
  </rv>
  <rv s="2">
    <fb>45680</fb>
    <v>6</v>
  </rv>
  <rv s="2">
    <fb>45681</fb>
    <v>6</v>
  </rv>
  <rv s="2">
    <fb>45684</fb>
    <v>6</v>
  </rv>
  <rv s="2">
    <fb>45685</fb>
    <v>6</v>
  </rv>
  <rv s="2">
    <fb>45686</fb>
    <v>6</v>
  </rv>
  <rv s="2">
    <fb>45687</fb>
    <v>6</v>
  </rv>
  <rv s="2">
    <fb>45688</fb>
    <v>6</v>
  </rv>
  <rv s="2">
    <fb>45691</fb>
    <v>6</v>
  </rv>
  <rv s="2">
    <fb>45692</fb>
    <v>6</v>
  </rv>
  <rv s="2">
    <fb>45693</fb>
    <v>6</v>
  </rv>
  <rv s="2">
    <fb>45694</fb>
    <v>6</v>
  </rv>
  <rv s="2">
    <fb>45695</fb>
    <v>6</v>
  </rv>
  <rv s="2">
    <fb>45698</fb>
    <v>6</v>
  </rv>
  <rv s="2">
    <fb>45699</fb>
    <v>6</v>
  </rv>
  <rv s="2">
    <fb>45700</fb>
    <v>6</v>
  </rv>
  <rv s="2">
    <fb>45701</fb>
    <v>6</v>
  </rv>
  <rv s="2">
    <fb>45702</fb>
    <v>6</v>
  </rv>
  <rv s="2">
    <fb>45706</fb>
    <v>6</v>
  </rv>
  <rv s="2">
    <fb>45707</fb>
    <v>6</v>
  </rv>
  <rv s="2">
    <fb>45708</fb>
    <v>6</v>
  </rv>
  <rv s="2">
    <fb>45709</fb>
    <v>6</v>
  </rv>
  <rv s="2">
    <fb>45712</fb>
    <v>6</v>
  </rv>
  <rv s="2">
    <fb>45713</fb>
    <v>6</v>
  </rv>
  <rv s="2">
    <fb>45714</fb>
    <v>6</v>
  </rv>
  <rv s="2">
    <fb>45715</fb>
    <v>6</v>
  </rv>
  <rv s="2">
    <fb>45716</fb>
    <v>6</v>
  </rv>
  <rv s="2">
    <fb>45719</fb>
    <v>6</v>
  </rv>
  <rv s="2">
    <fb>45720</fb>
    <v>6</v>
  </rv>
  <rv s="2">
    <fb>45721</fb>
    <v>6</v>
  </rv>
  <rv s="2">
    <fb>45722</fb>
    <v>6</v>
  </rv>
  <rv s="2">
    <fb>45723</fb>
    <v>6</v>
  </rv>
  <rv s="2">
    <fb>45726</fb>
    <v>6</v>
  </rv>
  <rv s="2">
    <fb>45727</fb>
    <v>6</v>
  </rv>
  <rv s="2">
    <fb>45728</fb>
    <v>6</v>
  </rv>
  <rv s="2">
    <fb>45729</fb>
    <v>6</v>
  </rv>
  <rv s="2">
    <fb>45730</fb>
    <v>6</v>
  </rv>
  <rv s="2">
    <fb>45733</fb>
    <v>6</v>
  </rv>
  <rv s="2">
    <fb>45734</fb>
    <v>6</v>
  </rv>
  <rv s="2">
    <fb>45735</fb>
    <v>6</v>
  </rv>
  <rv s="2">
    <fb>45736</fb>
    <v>6</v>
  </rv>
  <rv s="2">
    <fb>45737</fb>
    <v>6</v>
  </rv>
  <rv s="2">
    <fb>45740</fb>
    <v>6</v>
  </rv>
  <rv s="2">
    <fb>45741</fb>
    <v>6</v>
  </rv>
  <rv s="2">
    <fb>45742</fb>
    <v>6</v>
  </rv>
  <rv s="2">
    <fb>45743</fb>
    <v>6</v>
  </rv>
  <rv s="2">
    <fb>45744</fb>
    <v>6</v>
  </rv>
  <rv s="2">
    <fb>45747</fb>
    <v>6</v>
  </rv>
  <rv s="2">
    <fb>45748</fb>
    <v>6</v>
  </rv>
  <rv s="2">
    <fb>45749</fb>
    <v>6</v>
  </rv>
  <rv s="2">
    <fb>45750</fb>
    <v>6</v>
  </rv>
  <rv s="2">
    <fb>45751</fb>
    <v>6</v>
  </rv>
  <rv s="2">
    <fb>45754</fb>
    <v>6</v>
  </rv>
  <rv s="2">
    <fb>45755</fb>
    <v>6</v>
  </rv>
  <rv s="2">
    <fb>45756</fb>
    <v>6</v>
  </rv>
  <rv s="2">
    <fb>45757</fb>
    <v>6</v>
  </rv>
  <rv s="2">
    <fb>45758</fb>
    <v>6</v>
  </rv>
  <rv s="2">
    <fb>45761</fb>
    <v>6</v>
  </rv>
  <rv s="2">
    <fb>45762</fb>
    <v>6</v>
  </rv>
  <rv s="2">
    <fb>45763</fb>
    <v>6</v>
  </rv>
  <rv s="2">
    <fb>45764</fb>
    <v>6</v>
  </rv>
  <rv s="2">
    <fb>45768</fb>
    <v>6</v>
  </rv>
  <rv s="2">
    <fb>45769</fb>
    <v>6</v>
  </rv>
  <rv s="2">
    <fb>45770</fb>
    <v>6</v>
  </rv>
  <rv s="2">
    <fb>45771</fb>
    <v>6</v>
  </rv>
  <rv s="2">
    <fb>45772</fb>
    <v>6</v>
  </rv>
  <rv s="2">
    <fb>45775</fb>
    <v>6</v>
  </rv>
  <rv s="2">
    <fb>45776</fb>
    <v>6</v>
  </rv>
  <rv s="2">
    <fb>45777</fb>
    <v>6</v>
  </rv>
  <rv s="2">
    <fb>45778</fb>
    <v>6</v>
  </rv>
  <rv s="2">
    <fb>45779</fb>
    <v>6</v>
  </rv>
  <rv s="2">
    <fb>45782</fb>
    <v>6</v>
  </rv>
  <rv s="2">
    <fb>45783</fb>
    <v>6</v>
  </rv>
  <rv s="2">
    <fb>45784</fb>
    <v>6</v>
  </rv>
  <rv s="2">
    <fb>45785</fb>
    <v>6</v>
  </rv>
  <rv s="2">
    <fb>45786</fb>
    <v>6</v>
  </rv>
  <rv s="2">
    <fb>45789</fb>
    <v>6</v>
  </rv>
  <rv s="2">
    <fb>45790</fb>
    <v>6</v>
  </rv>
  <rv s="2">
    <fb>45791</fb>
    <v>6</v>
  </rv>
  <rv s="2">
    <fb>45792</fb>
    <v>6</v>
  </rv>
  <rv s="2">
    <fb>45793</fb>
    <v>6</v>
  </rv>
  <rv s="2">
    <fb>45796</fb>
    <v>6</v>
  </rv>
  <rv s="2">
    <fb>45797</fb>
    <v>6</v>
  </rv>
  <rv s="2">
    <fb>45798</fb>
    <v>6</v>
  </rv>
  <rv s="2">
    <fb>45799</fb>
    <v>6</v>
  </rv>
  <rv s="2">
    <fb>45800</fb>
    <v>6</v>
  </rv>
  <rv s="2">
    <fb>45804</fb>
    <v>6</v>
  </rv>
  <rv s="2">
    <fb>45805</fb>
    <v>6</v>
  </rv>
  <rv s="2">
    <fb>45806</fb>
    <v>6</v>
  </rv>
  <rv s="2">
    <fb>45807</fb>
    <v>6</v>
  </rv>
  <rv s="2">
    <fb>45810</fb>
    <v>6</v>
  </rv>
  <rv s="2">
    <fb>45811</fb>
    <v>6</v>
  </rv>
  <rv s="2">
    <fb>45812</fb>
    <v>6</v>
  </rv>
  <rv s="2">
    <fb>45813</fb>
    <v>6</v>
  </rv>
  <rv s="2">
    <fb>45814</fb>
    <v>6</v>
  </rv>
  <rv s="2">
    <fb>45817</fb>
    <v>6</v>
  </rv>
  <rv s="2">
    <fb>45818</fb>
    <v>6</v>
  </rv>
  <rv s="2">
    <fb>45819</fb>
    <v>6</v>
  </rv>
  <rv s="2">
    <fb>45820</fb>
    <v>6</v>
  </rv>
  <rv s="2">
    <fb>45821</fb>
    <v>6</v>
  </rv>
  <rv s="2">
    <fb>45824</fb>
    <v>6</v>
  </rv>
  <rv s="2">
    <fb>45825</fb>
    <v>6</v>
  </rv>
  <rv s="2">
    <fb>45826</fb>
    <v>6</v>
  </rv>
  <rv s="2">
    <fb>45828</fb>
    <v>6</v>
  </rv>
  <rv s="2">
    <fb>45831</fb>
    <v>6</v>
  </rv>
  <rv s="2">
    <fb>45832</fb>
    <v>6</v>
  </rv>
  <rv s="2">
    <fb>45833</fb>
    <v>6</v>
  </rv>
  <rv s="2">
    <fb>45834</fb>
    <v>6</v>
  </rv>
  <rv s="2">
    <fb>45835</fb>
    <v>6</v>
  </rv>
  <rv s="2">
    <fb>45838</fb>
    <v>6</v>
  </rv>
  <rv s="2">
    <fb>45839</fb>
    <v>6</v>
  </rv>
  <rv s="2">
    <fb>45840</fb>
    <v>6</v>
  </rv>
  <rv s="2">
    <fb>45841</fb>
    <v>6</v>
  </rv>
  <rv s="2">
    <fb>45845</fb>
    <v>6</v>
  </rv>
  <rv s="2">
    <fb>45846</fb>
    <v>6</v>
  </rv>
  <rv s="2">
    <fb>45847</fb>
    <v>6</v>
  </rv>
  <rv s="2">
    <fb>45848</fb>
    <v>6</v>
  </rv>
  <rv s="2">
    <fb>45849</fb>
    <v>6</v>
  </rv>
  <rv s="2">
    <fb>45852</fb>
    <v>6</v>
  </rv>
  <rv s="2">
    <fb>45853</fb>
    <v>6</v>
  </rv>
  <rv s="2">
    <fb>45854</fb>
    <v>6</v>
  </rv>
  <rv s="2">
    <fb>45855</fb>
    <v>6</v>
  </rv>
  <rv s="2">
    <fb>45856</fb>
    <v>6</v>
  </rv>
  <rv s="2">
    <fb>45859</fb>
    <v>6</v>
  </rv>
  <rv s="2">
    <fb>45860</fb>
    <v>6</v>
  </rv>
  <rv s="2">
    <fb>45861</fb>
    <v>6</v>
  </rv>
  <rv s="2">
    <fb>45862</fb>
    <v>6</v>
  </rv>
  <rv s="2">
    <fb>45863</fb>
    <v>6</v>
  </rv>
  <rv s="2">
    <fb>45866</fb>
    <v>6</v>
  </rv>
  <rv s="2">
    <fb>45867</fb>
    <v>6</v>
  </rv>
  <rv s="2">
    <fb>45868</fb>
    <v>6</v>
  </rv>
  <rv s="2">
    <fb>45869</fb>
    <v>6</v>
  </rv>
  <rv s="2">
    <fb>45870</fb>
    <v>6</v>
  </rv>
  <rv s="2">
    <fb>45873</fb>
    <v>6</v>
  </rv>
  <rv s="2">
    <fb>45874</fb>
    <v>6</v>
  </rv>
  <rv s="2">
    <fb>45875</fb>
    <v>6</v>
  </rv>
  <rv s="2">
    <fb>45876</fb>
    <v>6</v>
  </rv>
  <rv s="2">
    <fb>45877</fb>
    <v>6</v>
  </rv>
  <rv s="2">
    <fb>45880</fb>
    <v>6</v>
  </rv>
  <rv s="2">
    <fb>45881</fb>
    <v>6</v>
  </rv>
  <rv s="2">
    <fb>45882</fb>
    <v>6</v>
  </rv>
  <rv s="2">
    <fb>45883</fb>
    <v>6</v>
  </rv>
  <rv s="2">
    <fb>45884</fb>
    <v>6</v>
  </rv>
  <rv s="2">
    <fb>45887</fb>
    <v>6</v>
  </rv>
  <rv s="2">
    <fb>45888</fb>
    <v>6</v>
  </rv>
  <rv s="2">
    <fb>45889</fb>
    <v>6</v>
  </rv>
  <rv s="2">
    <fb>45890</fb>
    <v>6</v>
  </rv>
  <rv s="2">
    <fb>45891</fb>
    <v>6</v>
  </rv>
  <rv s="2">
    <fb>45894</fb>
    <v>6</v>
  </rv>
  <rv s="2">
    <fb>45895</fb>
    <v>6</v>
  </rv>
  <rv s="2">
    <fb>45896</fb>
    <v>6</v>
  </rv>
  <rv s="2">
    <fb>45897</fb>
    <v>6</v>
  </rv>
  <rv s="2">
    <fb>45898</fb>
    <v>6</v>
  </rv>
  <rv s="2">
    <fb>45902</fb>
    <v>6</v>
  </rv>
  <rv s="2">
    <fb>45903</fb>
    <v>6</v>
  </rv>
  <rv s="2">
    <fb>45904</fb>
    <v>6</v>
  </rv>
  <rv s="2">
    <fb>45905</fb>
    <v>6</v>
  </rv>
  <rv s="2">
    <fb>45908</fb>
    <v>6</v>
  </rv>
  <rv s="2">
    <fb>45909</fb>
    <v>6</v>
  </rv>
  <rv s="2">
    <fb>45910</fb>
    <v>6</v>
  </rv>
  <rv s="2">
    <fb>45911</fb>
    <v>6</v>
  </rv>
  <rv s="2">
    <fb>45912</fb>
    <v>6</v>
  </rv>
  <rv s="2">
    <fb>45915</fb>
    <v>6</v>
  </rv>
  <rv s="2">
    <fb>45916</fb>
    <v>6</v>
  </rv>
  <rv s="2">
    <fb>45917</fb>
    <v>6</v>
  </rv>
  <rv s="2">
    <fb>45918</fb>
    <v>6</v>
  </rv>
  <rv s="2">
    <fb>45919</fb>
    <v>6</v>
  </rv>
  <rv s="2">
    <fb>45922</fb>
    <v>6</v>
  </rv>
  <rv s="2">
    <fb>45923</fb>
    <v>6</v>
  </rv>
  <rv s="2">
    <fb>45924</fb>
    <v>6</v>
  </rv>
  <rv s="2">
    <fb>45925</fb>
    <v>6</v>
  </rv>
  <rv s="2">
    <fb>45926</fb>
    <v>6</v>
  </rv>
  <rv s="2">
    <fb>45929</fb>
    <v>6</v>
  </rv>
  <rv s="2">
    <fb>45930</fb>
    <v>6</v>
  </rv>
  <rv s="2">
    <fb>45931</fb>
    <v>6</v>
  </rv>
  <rv s="2">
    <fb>45932</fb>
    <v>6</v>
  </rv>
  <rv s="2">
    <fb>45933</fb>
    <v>6</v>
  </rv>
  <rv s="2">
    <fb>45936</fb>
    <v>6</v>
  </rv>
  <rv s="2">
    <fb>45937</fb>
    <v>6</v>
  </rv>
  <rv s="2">
    <fb>45938</fb>
    <v>6</v>
  </rv>
  <rv s="2">
    <fb>45939</fb>
    <v>6</v>
  </rv>
  <rv s="2">
    <fb>45940</fb>
    <v>6</v>
  </rv>
  <rv s="2">
    <fb>45943</fb>
    <v>6</v>
  </rv>
  <rv s="2">
    <fb>45944</fb>
    <v>6</v>
  </rv>
  <rv s="2">
    <fb>45945</fb>
    <v>6</v>
  </rv>
  <rv s="2">
    <fb>45946</fb>
    <v>6</v>
  </rv>
  <rv s="2">
    <fb>45947</fb>
    <v>6</v>
  </rv>
  <rv s="2">
    <fb>45950</fb>
    <v>6</v>
  </rv>
  <rv s="2">
    <fb>45951</fb>
    <v>6</v>
  </rv>
  <rv s="2">
    <fb>45952</fb>
    <v>6</v>
  </rv>
  <rv s="2">
    <fb>45953</fb>
    <v>6</v>
  </rv>
  <rv s="2">
    <fb>45954</fb>
    <v>6</v>
  </rv>
  <rv s="2">
    <fb>45957</fb>
    <v>6</v>
  </rv>
  <rv s="2">
    <fb>45958</fb>
    <v>6</v>
  </rv>
  <rv s="2">
    <fb>45959</fb>
    <v>6</v>
  </rv>
  <rv s="2">
    <fb>45960</fb>
    <v>6</v>
  </rv>
  <rv s="2">
    <fb>45961</fb>
    <v>6</v>
  </rv>
  <rv s="2">
    <fb>45964</fb>
    <v>6</v>
  </rv>
  <rv s="2">
    <fb>45965</fb>
    <v>6</v>
  </rv>
  <rv s="2">
    <fb>45966</fb>
    <v>6</v>
  </rv>
  <rv s="2">
    <fb>45967</fb>
    <v>6</v>
  </rv>
  <rv s="2">
    <fb>45968</fb>
    <v>6</v>
  </rv>
  <rv s="3">
    <v>https://www.bing.com/financeapi/forcetrigger?t=a1nhlh&amp;q=XNAS%3aAMZN&amp;form=skydnc</v>
    <v>Learn more on Bing</v>
  </rv>
  <rv s="4">
    <v>7</v>
    <v>8</v>
    <v>AMAZON.COM, INC. (XNAS:AMZN)</v>
    <v>9</v>
    <v>10</v>
    <v>Finance</v>
    <v>11</v>
    <v>fr-FR</v>
    <v>a1nhlh</v>
    <v>268435456</v>
    <v>1</v>
    <v>Avec Refinitiv</v>
    <v>XNAS</v>
    <v>10690220000</v>
    <v>1996</v>
    <v>238.49</v>
    <v>161.38</v>
    <v>1.3604000000000001</v>
    <v>2612796000000</v>
    <v>Nasdaq Stock Market</v>
    <v>0.74</v>
    <v>3.0280000000000003E-3</v>
    <v>243.04</v>
    <v>AMZN</v>
    <v>45968.959830138279</v>
    <v>Amazon.com, Inc. fournit une gamme de produits et de services à ses clients. Les produits offerts dans ses magasins comprennent les marchandises et le contenu qu'elle a achetés pour la revente et les produits offerts par des vendeurs tiers. Les segments de la société comprennent l'Amérique du Nord, l'International et Amazon Web services (AWS). Il sert les consommateurs par le biais de ses magasins en ligne et physiques et se concentre sur la sélection, le prix et la commodité. Les clients accèdent à ses offres via ses sites Web, applications mobiles, Alexa, appareils, streaming, et en visitant physiquement ses magasins. Il fabrique et vend des appareils électroniques, y compris Kindle, Fire Tablet, Fire TV, Echo, Ring, Blink et eero, et elle développe et produit du contenu multimédia. Il sert les développeurs et les entreprises de toutes tailles, y compris les start-ups, les agences gouvernementales et les établissements universitaires, via AWS, qui offre un large éventail de services technologiques à la demande, y compris le calcul, le stockage, la base de données, l'analyse, et l'apprentissage automatique, et d'autres services.</v>
    <v>USD</v>
    <v>1578000</v>
    <v>XNAS</v>
    <v>244.9</v>
    <v>258.60000000000002</v>
    <v>Diversified Retail</v>
    <v>251</v>
    <v>5.6369999999999996E-3</v>
    <v>1.37</v>
    <v>AMAZON.COM, INC.</v>
    <v>AMAZON.COM, INC.</v>
    <v>242.9</v>
    <v>34.332799999999999</v>
    <v>244.41</v>
    <v>245.15</v>
    <v>410 Terry Avenue North, SEATTLE, WA, 98109 US</v>
    <v>Bourse</v>
    <v>AMAZON.COM, INC. (XNAS:AMZN)</v>
    <v>46374294</v>
    <v>53833734</v>
  </rv>
  <rv s="1">
    <v>252</v>
  </rv>
  <rv s="2">
    <fb>206.84</fb>
    <v>12</v>
  </rv>
  <rv s="2">
    <fb>208.91</fb>
    <v>12</v>
  </rv>
  <rv s="2">
    <fb>214.1</fb>
    <v>12</v>
  </rv>
  <rv s="2">
    <fb>211.48</fb>
    <v>12</v>
  </rv>
  <rv s="2">
    <fb>202.61</fb>
    <v>12</v>
  </rv>
  <rv s="2">
    <fb>201.7</fb>
    <v>12</v>
  </rv>
  <rv s="2">
    <fb>204.61</fb>
    <v>12</v>
  </rv>
  <rv s="2">
    <fb>202.88</fb>
    <v>12</v>
  </rv>
  <rv s="2">
    <fb>198.38</fb>
    <v>12</v>
  </rv>
  <rv s="2">
    <fb>197.12</fb>
    <v>12</v>
  </rv>
  <rv s="2">
    <fb>201.45</fb>
    <v>12</v>
  </rv>
  <rv s="2">
    <fb>207.86</fb>
    <v>12</v>
  </rv>
  <rv s="2">
    <fb>205.74</fb>
    <v>12</v>
  </rv>
  <rv s="2">
    <fb>207.89</fb>
    <v>12</v>
  </rv>
  <rv s="2">
    <fb>210.71</fb>
    <v>12</v>
  </rv>
  <rv s="2">
    <fb>213.44</fb>
    <v>12</v>
  </rv>
  <rv s="2">
    <fb>218.16</fb>
    <v>12</v>
  </rv>
  <rv s="2">
    <fb>220.55</fb>
    <v>12</v>
  </rv>
  <rv s="2">
    <fb>227.03</fb>
    <v>12</v>
  </rv>
  <rv s="2">
    <fb>226.09</fb>
    <v>12</v>
  </rv>
  <rv s="2">
    <fb>225.04</fb>
    <v>12</v>
  </rv>
  <rv s="2">
    <fb>230.26</fb>
    <v>12</v>
  </rv>
  <rv s="2">
    <fb>228.97</fb>
    <v>12</v>
  </rv>
  <rv s="2">
    <fb>227.46</fb>
    <v>12</v>
  </rv>
  <rv s="2">
    <fb>232.93</fb>
    <v>12</v>
  </rv>
  <rv s="2">
    <fb>231.15</fb>
    <v>12</v>
  </rv>
  <rv s="2">
    <fb>220.52</fb>
    <v>12</v>
  </rv>
  <rv s="2">
    <fb>223.29</fb>
    <v>12</v>
  </rv>
  <rv s="2">
    <fb>224.92</fb>
    <v>12</v>
  </rv>
  <rv s="2">
    <fb>225.06</fb>
    <v>12</v>
  </rv>
  <rv s="2">
    <fb>229.05</fb>
    <v>12</v>
  </rv>
  <rv s="2">
    <fb>227.05</fb>
    <v>12</v>
  </rv>
  <rv s="2">
    <fb>223.75</fb>
    <v>12</v>
  </rv>
  <rv s="2">
    <fb>221.3</fb>
    <v>12</v>
  </rv>
  <rv s="2">
    <fb>219.39</fb>
    <v>12</v>
  </rv>
  <rv s="2">
    <fb>220.22</fb>
    <v>12</v>
  </rv>
  <rv s="2">
    <fb>224.19</fb>
    <v>12</v>
  </rv>
  <rv s="2">
    <fb>227.61</fb>
    <v>12</v>
  </rv>
  <rv s="2">
    <fb>222.11</fb>
    <v>12</v>
  </rv>
  <rv s="2">
    <fb>222.13</fb>
    <v>12</v>
  </rv>
  <rv s="2">
    <fb>218.94</fb>
    <v>12</v>
  </rv>
  <rv s="2">
    <fb>218.46</fb>
    <v>12</v>
  </rv>
  <rv s="2">
    <fb>217.76</fb>
    <v>12</v>
  </rv>
  <rv s="2">
    <fb>223.35</fb>
    <v>12</v>
  </rv>
  <rv s="2">
    <fb>220.66</fb>
    <v>12</v>
  </rv>
  <rv s="2">
    <fb>225.94</fb>
    <v>12</v>
  </rv>
  <rv s="2">
    <fb>230.71</fb>
    <v>12</v>
  </rv>
  <rv s="2">
    <fb>235.01</fb>
    <v>12</v>
  </rv>
  <rv s="2">
    <fb>235.42</fb>
    <v>12</v>
  </rv>
  <rv s="2">
    <fb>234.85</fb>
    <v>12</v>
  </rv>
  <rv s="2">
    <fb>238.15</fb>
    <v>12</v>
  </rv>
  <rv s="2">
    <fb>237.07</fb>
    <v>12</v>
  </rv>
  <rv s="2">
    <fb>234.64</fb>
    <v>12</v>
  </rv>
  <rv s="2">
    <fb>237.68</fb>
    <v>12</v>
  </rv>
  <rv s="2">
    <fb>237.42</fb>
    <v>12</v>
  </rv>
  <rv s="2">
    <fb>242.06</fb>
    <v>12</v>
  </rv>
  <rv s="2">
    <fb>236.17</fb>
    <v>12</v>
  </rv>
  <rv s="2">
    <fb>238.83</fb>
    <v>12</v>
  </rv>
  <rv s="2">
    <fb>229.15</fb>
    <v>12</v>
  </rv>
  <rv s="2">
    <fb>233.14</fb>
    <v>12</v>
  </rv>
  <rv s="2">
    <fb>232.76</fb>
    <v>12</v>
  </rv>
  <rv s="2">
    <fb>228.93</fb>
    <v>12</v>
  </rv>
  <rv s="2">
    <fb>230.37</fb>
    <v>12</v>
  </rv>
  <rv s="2">
    <fb>228.68</fb>
    <v>12</v>
  </rv>
  <rv s="2">
    <fb>226.65</fb>
    <v>12</v>
  </rv>
  <rv s="2">
    <fb>226.63</fb>
    <v>12</v>
  </rv>
  <rv s="2">
    <fb>222.88</fb>
    <v>12</v>
  </rv>
  <rv s="2">
    <fb>216.58</fb>
    <v>12</v>
  </rv>
  <rv s="2">
    <fb>212.71</fb>
    <v>12</v>
  </rv>
  <rv s="2">
    <fb>212.8</fb>
    <v>12</v>
  </rv>
  <rv s="2">
    <fb>214.35</fb>
    <v>12</v>
  </rv>
  <rv s="2">
    <fb>208.74</fb>
    <v>12</v>
  </rv>
  <rv s="2">
    <fb>212.28</fb>
    <v>12</v>
  </rv>
  <rv s="2">
    <fb>205.02</fb>
    <v>12</v>
  </rv>
  <rv s="2">
    <fb>203.8</fb>
    <v>12</v>
  </rv>
  <rv s="2">
    <fb>208.36</fb>
    <v>12</v>
  </rv>
  <rv s="2">
    <fb>200.7</fb>
    <v>12</v>
  </rv>
  <rv s="2">
    <fb>199.25</fb>
    <v>12</v>
  </rv>
  <rv s="2">
    <fb>194.54</fb>
    <v>12</v>
  </rv>
  <rv s="2">
    <fb>196.59</fb>
    <v>12</v>
  </rv>
  <rv s="2">
    <fb>198.89</fb>
    <v>12</v>
  </rv>
  <rv s="2">
    <fb>193.89</fb>
    <v>12</v>
  </rv>
  <rv s="2">
    <fb>197.95</fb>
    <v>12</v>
  </rv>
  <rv s="2">
    <fb>195.74</fb>
    <v>12</v>
  </rv>
  <rv s="2">
    <fb>192.82</fb>
    <v>12</v>
  </rv>
  <rv s="2">
    <fb>195.54</fb>
    <v>12</v>
  </rv>
  <rv s="2">
    <fb>194.95</fb>
    <v>12</v>
  </rv>
  <rv s="2">
    <fb>196.21</fb>
    <v>12</v>
  </rv>
  <rv s="2">
    <fb>203.26</fb>
    <v>12</v>
  </rv>
  <rv s="2">
    <fb>205.71</fb>
    <v>12</v>
  </rv>
  <rv s="2">
    <fb>201.13</fb>
    <v>12</v>
  </rv>
  <rv s="2">
    <fb>201.36</fb>
    <v>12</v>
  </rv>
  <rv s="2">
    <fb>192.72</fb>
    <v>12</v>
  </rv>
  <rv s="2">
    <fb>190.26</fb>
    <v>12</v>
  </rv>
  <rv s="2">
    <fb>192.17</fb>
    <v>12</v>
  </rv>
  <rv s="2">
    <fb>196.01</fb>
    <v>12</v>
  </rv>
  <rv s="2">
    <fb>178.41</fb>
    <v>12</v>
  </rv>
  <rv s="2">
    <fb>171</fb>
    <v>12</v>
  </rv>
  <rv s="2">
    <fb>175.26</fb>
    <v>12</v>
  </rv>
  <rv s="2">
    <fb>170.66</fb>
    <v>12</v>
  </rv>
  <rv s="2">
    <fb>191.1</fb>
    <v>12</v>
  </rv>
  <rv s="2">
    <fb>181.22</fb>
    <v>12</v>
  </rv>
  <rv s="2">
    <fb>184.87</fb>
    <v>12</v>
  </rv>
  <rv s="2">
    <fb>182.12</fb>
    <v>12</v>
  </rv>
  <rv s="2">
    <fb>179.59</fb>
    <v>12</v>
  </rv>
  <rv s="2">
    <fb>174.33</fb>
    <v>12</v>
  </rv>
  <rv s="2">
    <fb>172.61</fb>
    <v>12</v>
  </rv>
  <rv s="2">
    <fb>167.32</fb>
    <v>12</v>
  </rv>
  <rv s="2">
    <fb>173.18</fb>
    <v>12</v>
  </rv>
  <rv s="2">
    <fb>180.6</fb>
    <v>12</v>
  </rv>
  <rv s="2">
    <fb>186.54</fb>
    <v>12</v>
  </rv>
  <rv s="2">
    <fb>188.99</fb>
    <v>12</v>
  </rv>
  <rv s="2">
    <fb>187.7</fb>
    <v>12</v>
  </rv>
  <rv s="2">
    <fb>187.39</fb>
    <v>12</v>
  </rv>
  <rv s="2">
    <fb>184.42</fb>
    <v>12</v>
  </rv>
  <rv s="2">
    <fb>190.2</fb>
    <v>12</v>
  </rv>
  <rv s="2">
    <fb>189.98</fb>
    <v>12</v>
  </rv>
  <rv s="2">
    <fb>186.35</fb>
    <v>12</v>
  </rv>
  <rv s="2">
    <fb>185.01</fb>
    <v>12</v>
  </rv>
  <rv s="2">
    <fb>188.71</fb>
    <v>12</v>
  </rv>
  <rv s="2">
    <fb>192.08</fb>
    <v>12</v>
  </rv>
  <rv s="2">
    <fb>193.06</fb>
    <v>12</v>
  </rv>
  <rv s="2">
    <fb>208.64</fb>
    <v>12</v>
  </rv>
  <rv s="2">
    <fb>211.37</fb>
    <v>12</v>
  </rv>
  <rv s="2">
    <fb>210.25</fb>
    <v>12</v>
  </rv>
  <rv s="2">
    <fb>205.17</fb>
    <v>12</v>
  </rv>
  <rv s="2">
    <fb>205.59</fb>
    <v>12</v>
  </rv>
  <rv s="2">
    <fb>206.16</fb>
    <v>12</v>
  </rv>
  <rv s="2">
    <fb>204.07</fb>
    <v>12</v>
  </rv>
  <rv s="2">
    <fb>201.12</fb>
    <v>12</v>
  </rv>
  <rv s="2">
    <fb>203.1</fb>
    <v>12</v>
  </rv>
  <rv s="2">
    <fb>200.99</fb>
    <v>12</v>
  </rv>
  <rv s="2">
    <fb>206.02</fb>
    <v>12</v>
  </rv>
  <rv s="2">
    <fb>204.72</fb>
    <v>12</v>
  </rv>
  <rv s="2">
    <fb>205.7</fb>
    <v>12</v>
  </rv>
  <rv s="2">
    <fb>205.01</fb>
    <v>12</v>
  </rv>
  <rv s="2">
    <fb>206.65</fb>
    <v>12</v>
  </rv>
  <rv s="2">
    <fb>207.23</fb>
    <v>12</v>
  </rv>
  <rv s="2">
    <fb>207.91</fb>
    <v>12</v>
  </rv>
  <rv s="2">
    <fb>213.57</fb>
    <v>12</v>
  </rv>
  <rv s="2">
    <fb>216.98</fb>
    <v>12</v>
  </rv>
  <rv s="2">
    <fb>217.61</fb>
    <v>12</v>
  </rv>
  <rv s="2">
    <fb>213.2</fb>
    <v>12</v>
  </rv>
  <rv s="2">
    <fb>213.24</fb>
    <v>12</v>
  </rv>
  <rv s="2">
    <fb>212.1</fb>
    <v>12</v>
  </rv>
  <rv s="2">
    <fb>216.1</fb>
    <v>12</v>
  </rv>
  <rv s="2">
    <fb>214.82</fb>
    <v>12</v>
  </rv>
  <rv s="2">
    <fb>212.52</fb>
    <v>12</v>
  </rv>
  <rv s="2">
    <fb>209.69</fb>
    <v>12</v>
  </rv>
  <rv s="2">
    <fb>208.47</fb>
    <v>12</v>
  </rv>
  <rv s="2">
    <fb>212.77</fb>
    <v>12</v>
  </rv>
  <rv s="2">
    <fb>211.99</fb>
    <v>12</v>
  </rv>
  <rv s="2">
    <fb>217.12</fb>
    <v>12</v>
  </rv>
  <rv s="2">
    <fb>223.3</fb>
    <v>12</v>
  </rv>
  <rv s="2">
    <fb>220.46</fb>
    <v>12</v>
  </rv>
  <rv s="2">
    <fb>219.92</fb>
    <v>12</v>
  </rv>
  <rv s="2">
    <fb>223.41</fb>
    <v>12</v>
  </rv>
  <rv s="2">
    <fb>223.47</fb>
    <v>12</v>
  </rv>
  <rv s="2">
    <fb>219.36</fb>
    <v>12</v>
  </rv>
  <rv s="2">
    <fb>222.54</fb>
    <v>12</v>
  </rv>
  <rv s="2">
    <fb>222.26</fb>
    <v>12</v>
  </rv>
  <rv s="2">
    <fb>225.02</fb>
    <v>12</v>
  </rv>
  <rv s="2">
    <fb>225.69</fb>
    <v>12</v>
  </rv>
  <rv s="2">
    <fb>226.35</fb>
    <v>12</v>
  </rv>
  <rv s="2">
    <fb>223.19</fb>
    <v>12</v>
  </rv>
  <rv s="2">
    <fb>223.88</fb>
    <v>12</v>
  </rv>
  <rv s="2">
    <fb>226.13</fb>
    <v>12</v>
  </rv>
  <rv s="2">
    <fb>229.3</fb>
    <v>12</v>
  </rv>
  <rv s="2">
    <fb>227.47</fb>
    <v>12</v>
  </rv>
  <rv s="2">
    <fb>228.29</fb>
    <v>12</v>
  </rv>
  <rv s="2">
    <fb>232.23</fb>
    <v>12</v>
  </rv>
  <rv s="2">
    <fb>231.44</fb>
    <v>12</v>
  </rv>
  <rv s="2">
    <fb>232.79</fb>
    <v>12</v>
  </rv>
  <rv s="2">
    <fb>231.01</fb>
    <v>12</v>
  </rv>
  <rv s="2">
    <fb>230.19</fb>
    <v>12</v>
  </rv>
  <rv s="2">
    <fb>234.11</fb>
    <v>12</v>
  </rv>
  <rv s="2">
    <fb>214.75</fb>
    <v>12</v>
  </rv>
  <rv s="2">
    <fb>211.65</fb>
    <v>12</v>
  </rv>
  <rv s="2">
    <fb>213.75</fb>
    <v>12</v>
  </rv>
  <rv s="2">
    <fb>222.31</fb>
    <v>12</v>
  </rv>
  <rv s="2">
    <fb>223.13</fb>
    <v>12</v>
  </rv>
  <rv s="2">
    <fb>222.69</fb>
    <v>12</v>
  </rv>
  <rv s="2">
    <fb>221.47</fb>
    <v>12</v>
  </rv>
  <rv s="2">
    <fb>224.56</fb>
    <v>12</v>
  </rv>
  <rv s="2">
    <fb>230.98</fb>
    <v>12</v>
  </rv>
  <rv s="2">
    <fb>231.03</fb>
    <v>12</v>
  </rv>
  <rv s="2">
    <fb>231.49</fb>
    <v>12</v>
  </rv>
  <rv s="2">
    <fb>228.01</fb>
    <v>12</v>
  </rv>
  <rv s="2">
    <fb>223.81</fb>
    <v>12</v>
  </rv>
  <rv s="2">
    <fb>221.95</fb>
    <v>12</v>
  </rv>
  <rv s="2">
    <fb>228.84</fb>
    <v>12</v>
  </rv>
  <rv s="2">
    <fb>227.94</fb>
    <v>12</v>
  </rv>
  <rv s="2">
    <fb>228.71</fb>
    <v>12</v>
  </rv>
  <rv s="2">
    <fb>229.12</fb>
    <v>12</v>
  </rv>
  <rv s="2">
    <fb>231.6</fb>
    <v>12</v>
  </rv>
  <rv s="2">
    <fb>229</fb>
    <v>12</v>
  </rv>
  <rv s="2">
    <fb>225.34</fb>
    <v>12</v>
  </rv>
  <rv s="2">
    <fb>225.99</fb>
    <v>12</v>
  </rv>
  <rv s="2">
    <fb>235.68</fb>
    <v>12</v>
  </rv>
  <rv s="2">
    <fb>232.33</fb>
    <v>12</v>
  </rv>
  <rv s="2">
    <fb>235.84</fb>
    <v>12</v>
  </rv>
  <rv s="2">
    <fb>238.24</fb>
    <v>12</v>
  </rv>
  <rv s="2">
    <fb>230.33</fb>
    <v>12</v>
  </rv>
  <rv s="2">
    <fb>229.95</fb>
    <v>12</v>
  </rv>
  <rv s="2">
    <fb>228.15</fb>
    <v>12</v>
  </rv>
  <rv s="2">
    <fb>231.43</fb>
    <v>12</v>
  </rv>
  <rv s="2">
    <fb>234.05</fb>
    <v>12</v>
  </rv>
  <rv s="2">
    <fb>231.62</fb>
    <v>12</v>
  </rv>
  <rv s="2">
    <fb>231.23</fb>
    <v>12</v>
  </rv>
  <rv s="2">
    <fb>231.48</fb>
    <v>12</v>
  </rv>
  <rv s="2">
    <fb>227.63</fb>
    <v>12</v>
  </rv>
  <rv s="2">
    <fb>220.71</fb>
    <v>12</v>
  </rv>
  <rv s="2">
    <fb>220.21</fb>
    <v>12</v>
  </rv>
  <rv s="2">
    <fb>218.15</fb>
    <v>12</v>
  </rv>
  <rv s="2">
    <fb>219.78</fb>
    <v>12</v>
  </rv>
  <rv s="2">
    <fb>222.17</fb>
    <v>12</v>
  </rv>
  <rv s="2">
    <fb>219.57</fb>
    <v>12</v>
  </rv>
  <rv s="2">
    <fb>220.63</fb>
    <v>12</v>
  </rv>
  <rv s="2">
    <fb>222.41</fb>
    <v>12</v>
  </rv>
  <rv s="2">
    <fb>219.51</fb>
    <v>12</v>
  </rv>
  <rv s="2">
    <fb>220.9</fb>
    <v>12</v>
  </rv>
  <rv s="2">
    <fb>221.78</fb>
    <v>12</v>
  </rv>
  <rv s="2">
    <fb>225.22</fb>
    <v>12</v>
  </rv>
  <rv s="2">
    <fb>227.74</fb>
    <v>12</v>
  </rv>
  <rv s="2">
    <fb>216.37</fb>
    <v>12</v>
  </rv>
  <rv s="2">
    <fb>220.07</fb>
    <v>12</v>
  </rv>
  <rv s="2">
    <fb>216.39</fb>
    <v>12</v>
  </rv>
  <rv s="2">
    <fb>215.57</fb>
    <v>12</v>
  </rv>
  <rv s="2">
    <fb>214.47</fb>
    <v>12</v>
  </rv>
  <rv s="2">
    <fb>213.04</fb>
    <v>12</v>
  </rv>
  <rv s="2">
    <fb>216.48</fb>
    <v>12</v>
  </rv>
  <rv s="2">
    <fb>222.03</fb>
    <v>12</v>
  </rv>
  <rv s="2">
    <fb>217.95</fb>
    <v>12</v>
  </rv>
  <rv s="2">
    <fb>221.09</fb>
    <v>12</v>
  </rv>
  <rv s="2">
    <fb>224.21</fb>
    <v>12</v>
  </rv>
  <rv s="2">
    <fb>226.97</fb>
    <v>12</v>
  </rv>
  <rv s="2">
    <fb>229.25</fb>
    <v>12</v>
  </rv>
  <rv s="2">
    <fb>230.3</fb>
    <v>12</v>
  </rv>
  <rv s="2">
    <fb>222.86</fb>
    <v>12</v>
  </rv>
  <rv s="2">
    <fb>244.22</fb>
    <v>12</v>
  </rv>
  <rv s="2">
    <fb>254</fb>
    <v>12</v>
  </rv>
  <rv s="2">
    <fb>249.32</fb>
    <v>12</v>
  </rv>
  <rv s="2">
    <fb>250.2</fb>
    <v>12</v>
  </rv>
  <rv s="2">
    <fb>243.04</fb>
    <v>12</v>
  </rv>
  <rv s="2">
    <fb>244.41</fb>
    <v>12</v>
  </rv>
  <rv s="3">
    <v>https://www.bing.com/financeapi/forcetrigger?t=ae7w1h&amp;q=XPAR%3aBNP&amp;form=skydnc</v>
    <v>Learn more on Bing</v>
  </rv>
  <rv s="5">
    <v>13</v>
    <v>14</v>
    <v>BNP PARIBAS SA (XPAR:BNP)</v>
    <v>9</v>
    <v>15</v>
    <v>Finance</v>
    <v>16</v>
    <v>fr-FR</v>
    <v>ae7w1h</v>
    <v>268435456</v>
    <v>1</v>
    <v>Avec Refinitiv</v>
    <v>XPAR</v>
    <v>1116785000</v>
    <v>1966</v>
    <v>65.319999999999993</v>
    <v>54.63</v>
    <v>1.2621</v>
    <v>73138230000</v>
    <v>Euronext Paris</v>
    <v>65.34</v>
    <v>BNP</v>
    <v>45968.708333333336</v>
    <v>BNP Paribas SA est une institution bancaire internationale basée en France. La société organise ses activités en trois grands domaines d’activité : les services bancaires aux entreprises et institutionnels (CIB), les services bancaires aux particuliers et aux entreprises (CPBS) et les services de protection des investissements (IPS). La CIB comprend les services bancaires mondiaux, les marchés mondiaux et les services de valeurs mobilières. CBPS couvre les services bancaires commerciaux et personnels en France, en Belgique, en Italie, au Luxembourg et dans la zone euro-méditerranéenne. IPS fournit des services tels que la gestion de patrimoine, la gestion d’actifs, l’immobilier et les placements principaux.</v>
    <v>EUR</v>
    <v>177952</v>
    <v>XPAR</v>
    <v>66.16</v>
    <v>84.7</v>
    <v>Banking Services</v>
    <v>499</v>
    <v>2.2959999999999999E-3</v>
    <v>0.15</v>
    <v>BNP PARIBAS SA</v>
    <v>BNP PARIBAS SA</v>
    <v>65.7</v>
    <v>6.8457999999999997</v>
    <v>65.489999999999995</v>
    <v>16 Boulevard Des Italiens, Paris 9, PARIS, ILE-DE-FRANCE, 75009 FR</v>
    <v>Bourse</v>
    <v>BNP PARIBAS SA (XPAR:BNP)</v>
    <v>1814972</v>
    <v>3251680</v>
  </rv>
  <rv s="1">
    <v>500</v>
  </rv>
  <rv s="2">
    <fb>60.94</fb>
    <v>17</v>
  </rv>
  <rv s="2">
    <fb>59.38</fb>
    <v>17</v>
  </rv>
  <rv s="2">
    <fb>59.12</fb>
    <v>17</v>
  </rv>
  <rv s="2">
    <fb>59.47</fb>
    <v>17</v>
  </rv>
  <rv s="2">
    <fb>60.11</fb>
    <v>17</v>
  </rv>
  <rv s="2">
    <fb>60.42</fb>
    <v>17</v>
  </rv>
  <rv s="2">
    <fb>59.31</fb>
    <v>17</v>
  </rv>
  <rv s="2">
    <fb>58.49</fb>
    <v>17</v>
  </rv>
  <rv s="2">
    <fb>58.22</fb>
    <v>17</v>
  </rv>
  <rv s="2">
    <fb>56.92</fb>
    <v>17</v>
  </rv>
  <rv s="2">
    <fb>56.98</fb>
    <v>17</v>
  </rv>
  <rv s="2">
    <fb>56.3</fb>
    <v>17</v>
  </rv>
  <rv s="2">
    <fb>55.63</fb>
    <v>17</v>
  </rv>
  <rv s="2">
    <fb>56.14</fb>
    <v>17</v>
  </rv>
  <rv s="2">
    <fb>56.64</fb>
    <v>17</v>
  </rv>
  <rv s="2">
    <fb>55.94</fb>
    <v>17</v>
  </rv>
  <rv s="2">
    <fb>55.78</fb>
    <v>17</v>
  </rv>
  <rv s="2">
    <fb>56.5</fb>
    <v>17</v>
  </rv>
  <rv s="2">
    <fb>57.97</fb>
    <v>17</v>
  </rv>
  <rv s="2">
    <fb>58.57</fb>
    <v>17</v>
  </rv>
  <rv s="2">
    <fb>60.06</fb>
    <v>17</v>
  </rv>
  <rv s="2">
    <fb>59.7</fb>
    <v>17</v>
  </rv>
  <rv s="2">
    <fb>59.59</fb>
    <v>17</v>
  </rv>
  <rv s="2">
    <fb>58.92</fb>
    <v>17</v>
  </rv>
  <rv s="2">
    <fb>58.94</fb>
    <v>17</v>
  </rv>
  <rv s="2">
    <fb>58.82</fb>
    <v>17</v>
  </rv>
  <rv s="2">
    <fb>58.25</fb>
    <v>17</v>
  </rv>
  <rv s="2">
    <fb>58.63</fb>
    <v>17</v>
  </rv>
  <rv s="2">
    <fb>57.81</fb>
    <v>17</v>
  </rv>
  <rv s="2">
    <fb>57.48</fb>
    <v>17</v>
  </rv>
  <rv s="2">
    <fb>57.44</fb>
    <v>17</v>
  </rv>
  <rv s="2">
    <fb>57.54</fb>
    <v>17</v>
  </rv>
  <rv s="2">
    <fb>58.54</fb>
    <v>17</v>
  </rv>
  <rv s="2">
    <fb>58.73</fb>
    <v>17</v>
  </rv>
  <rv s="2">
    <fb>59.22</fb>
    <v>17</v>
  </rv>
  <rv s="2">
    <fb>59.25</fb>
    <v>17</v>
  </rv>
  <rv s="2">
    <fb>60.03</fb>
    <v>17</v>
  </rv>
  <rv s="2">
    <fb>60.4</fb>
    <v>17</v>
  </rv>
  <rv s="2">
    <fb>60.14</fb>
    <v>17</v>
  </rv>
  <rv s="2">
    <fb>59.95</fb>
    <v>17</v>
  </rv>
  <rv s="2">
    <fb>59.35</fb>
    <v>17</v>
  </rv>
  <rv s="2">
    <fb>59.64</fb>
    <v>17</v>
  </rv>
  <rv s="2">
    <fb>60.81</fb>
    <v>17</v>
  </rv>
  <rv s="2">
    <fb>62.08</fb>
    <v>17</v>
  </rv>
  <rv s="2">
    <fb>62.21</fb>
    <v>17</v>
  </rv>
  <rv s="2">
    <fb>62.24</fb>
    <v>17</v>
  </rv>
  <rv s="2">
    <fb>62.95</fb>
    <v>17</v>
  </rv>
  <rv s="2">
    <fb>63.11</fb>
    <v>17</v>
  </rv>
  <rv s="2">
    <fb>62.31</fb>
    <v>17</v>
  </rv>
  <rv s="2">
    <fb>63.38</fb>
    <v>17</v>
  </rv>
  <rv s="2">
    <fb>63.61</fb>
    <v>17</v>
  </rv>
  <rv s="2">
    <fb>64.23</fb>
    <v>17</v>
  </rv>
  <rv s="2">
    <fb>64.58</fb>
    <v>17</v>
  </rv>
  <rv s="2">
    <fb>64.67</fb>
    <v>17</v>
  </rv>
  <rv s="2">
    <fb>65.66</fb>
    <v>17</v>
  </rv>
  <rv s="2">
    <fb>65.72</fb>
    <v>17</v>
  </rv>
  <rv s="2">
    <fb>64.319999999999993</fb>
    <v>17</v>
  </rv>
  <rv s="2">
    <fb>67.05</fb>
    <v>17</v>
  </rv>
  <rv s="2">
    <fb>66.400000000000006</fb>
    <v>17</v>
  </rv>
  <rv s="2">
    <fb>68.260000000000005</fb>
    <v>17</v>
  </rv>
  <rv s="2">
    <fb>69.45</fb>
    <v>17</v>
  </rv>
  <rv s="2">
    <fb>69.489999999999995</fb>
    <v>17</v>
  </rv>
  <rv s="2">
    <fb>70.13</fb>
    <v>17</v>
  </rv>
  <rv s="2">
    <fb>70.94</fb>
    <v>17</v>
  </rv>
  <rv s="2">
    <fb>70.099999999999994</fb>
    <v>17</v>
  </rv>
  <rv s="2">
    <fb>69.95</fb>
    <v>17</v>
  </rv>
  <rv s="2">
    <fb>69.83</fb>
    <v>17</v>
  </rv>
  <rv s="2">
    <fb>71.09</fb>
    <v>17</v>
  </rv>
  <rv s="2">
    <fb>70.3</fb>
    <v>17</v>
  </rv>
  <rv s="2">
    <fb>70.87</fb>
    <v>17</v>
  </rv>
  <rv s="2">
    <fb>71.12</fb>
    <v>17</v>
  </rv>
  <rv s="2">
    <fb>71.08</fb>
    <v>17</v>
  </rv>
  <rv s="2">
    <fb>72.11</fb>
    <v>17</v>
  </rv>
  <rv s="2">
    <fb>72.72</fb>
    <v>17</v>
  </rv>
  <rv s="2">
    <fb>72.61</fb>
    <v>17</v>
  </rv>
  <rv s="2">
    <fb>72.86</fb>
    <v>17</v>
  </rv>
  <rv s="2">
    <fb>74.02</fb>
    <v>17</v>
  </rv>
  <rv s="2">
    <fb>71.69</fb>
    <v>17</v>
  </rv>
  <rv s="2">
    <fb>74.66</fb>
    <v>17</v>
  </rv>
  <rv s="2">
    <fb>77.17</fb>
    <v>17</v>
  </rv>
  <rv s="2">
    <fb>76.569999999999993</fb>
    <v>17</v>
  </rv>
  <rv s="2">
    <fb>74.44</fb>
    <v>17</v>
  </rv>
  <rv s="2">
    <fb>72.959999999999994</fb>
    <v>17</v>
  </rv>
  <rv s="2">
    <fb>73.69</fb>
    <v>17</v>
  </rv>
  <rv s="2">
    <fb>73.55</fb>
    <v>17</v>
  </rv>
  <rv s="2">
    <fb>75.72</fb>
    <v>17</v>
  </rv>
  <rv s="2">
    <fb>77.91</fb>
    <v>17</v>
  </rv>
  <rv s="2">
    <fb>80.209999999999994</fb>
    <v>17</v>
  </rv>
  <rv s="2">
    <fb>80.86</fb>
    <v>17</v>
  </rv>
  <rv s="2">
    <fb>79.05</fb>
    <v>17</v>
  </rv>
  <rv s="2">
    <fb>79.72</fb>
    <v>17</v>
  </rv>
  <rv s="2">
    <fb>79.430000000000007</fb>
    <v>17</v>
  </rv>
  <rv s="2">
    <fb>81.58</fb>
    <v>17</v>
  </rv>
  <rv s="2">
    <fb>80.400000000000006</fb>
    <v>17</v>
  </rv>
  <rv s="2">
    <fb>79.67</fb>
    <v>17</v>
  </rv>
  <rv s="2">
    <fb>78.55</fb>
    <v>17</v>
  </rv>
  <rv s="2">
    <fb>76.91</fb>
    <v>17</v>
  </rv>
  <rv s="2">
    <fb>78.489999999999995</fb>
    <v>17</v>
  </rv>
  <rv s="2">
    <fb>77.75</fb>
    <v>17</v>
  </rv>
  <rv s="2">
    <fb>73.7</fb>
    <v>17</v>
  </rv>
  <rv s="2">
    <fb>68.67</fb>
    <v>17</v>
  </rv>
  <rv s="2">
    <fb>66.099999999999994</fb>
    <v>17</v>
  </rv>
  <rv s="2">
    <fb>66.19</fb>
    <v>17</v>
  </rv>
  <rv s="2">
    <fb>63.78</fb>
    <v>17</v>
  </rv>
  <rv s="2">
    <fb>67.23</fb>
    <v>17</v>
  </rv>
  <rv s="2">
    <fb>65.61</fb>
    <v>17</v>
  </rv>
  <rv s="2">
    <fb>68.5</fb>
    <v>17</v>
  </rv>
  <rv s="2">
    <fb>70.58</fb>
    <v>17</v>
  </rv>
  <rv s="2">
    <fb>71.58</fb>
    <v>17</v>
  </rv>
  <rv s="2">
    <fb>70.739999999999995</fb>
    <v>17</v>
  </rv>
  <rv s="2">
    <fb>71.62</fb>
    <v>17</v>
  </rv>
  <rv s="2">
    <fb>73.819999999999993</fb>
    <v>17</v>
  </rv>
  <rv s="2">
    <fb>72.23</fb>
    <v>17</v>
  </rv>
  <rv s="2">
    <fb>72.81</fb>
    <v>17</v>
  </rv>
  <rv s="2">
    <fb>74.099999999999994</fb>
    <v>17</v>
  </rv>
  <rv s="2">
    <fb>74.8</fb>
    <v>17</v>
  </rv>
  <rv s="2">
    <fb>74.290000000000006</fb>
    <v>17</v>
  </rv>
  <rv s="2">
    <fb>76.36</fb>
    <v>17</v>
  </rv>
  <rv s="2">
    <fb>76</fb>
    <v>17</v>
  </rv>
  <rv s="2">
    <fb>76.02</fb>
    <v>17</v>
  </rv>
  <rv s="2">
    <fb>77</fb>
    <v>17</v>
  </rv>
  <rv s="2">
    <fb>77.5</fb>
    <v>17</v>
  </rv>
  <rv s="2">
    <fb>79.08</fb>
    <v>17</v>
  </rv>
  <rv s="2">
    <fb>79.92</fb>
    <v>17</v>
  </rv>
  <rv s="2">
    <fb>79.599999999999994</fb>
    <v>17</v>
  </rv>
  <rv s="2">
    <fb>79.39</fb>
    <v>17</v>
  </rv>
  <rv s="2">
    <fb>77.150000000000006</fb>
    <v>17</v>
  </rv>
  <rv s="2">
    <fb>77.64</fb>
    <v>17</v>
  </rv>
  <rv s="2">
    <fb>77.94</fb>
    <v>17</v>
  </rv>
  <rv s="2">
    <fb>75.84</fb>
    <v>17</v>
  </rv>
  <rv s="2">
    <fb>77.22</fb>
    <v>17</v>
  </rv>
  <rv s="2">
    <fb>77.42</fb>
    <v>17</v>
  </rv>
  <rv s="2">
    <fb>76.58</fb>
    <v>17</v>
  </rv>
  <rv s="2">
    <fb>76.83</fb>
    <v>17</v>
  </rv>
  <rv s="2">
    <fb>77.14</fb>
    <v>17</v>
  </rv>
  <rv s="2">
    <fb>76.709999999999994</fb>
    <v>17</v>
  </rv>
  <rv s="2">
    <fb>76.64</fb>
    <v>17</v>
  </rv>
  <rv s="2">
    <fb>78.14</fb>
    <v>17</v>
  </rv>
  <rv s="2">
    <fb>76.290000000000006</fb>
    <v>17</v>
  </rv>
  <rv s="2">
    <fb>76.22</fb>
    <v>17</v>
  </rv>
  <rv s="2">
    <fb>76.48</fb>
    <v>17</v>
  </rv>
  <rv s="2">
    <fb>75.28</fb>
    <v>17</v>
  </rv>
  <rv s="2">
    <fb>75.97</fb>
    <v>17</v>
  </rv>
  <rv s="2">
    <fb>74.64</fb>
    <v>17</v>
  </rv>
  <rv s="2">
    <fb>74.3</fb>
    <v>17</v>
  </rv>
  <rv s="2">
    <fb>73.08</fb>
    <v>17</v>
  </rv>
  <rv s="2">
    <fb>75.38</fb>
    <v>17</v>
  </rv>
  <rv s="2">
    <fb>75.209999999999994</fb>
    <v>17</v>
  </rv>
  <rv s="2">
    <fb>75.27</fb>
    <v>17</v>
  </rv>
  <rv s="2">
    <fb>76.900000000000006</fb>
    <v>17</v>
  </rv>
  <rv s="2">
    <fb>76.319999999999993</fb>
    <v>17</v>
  </rv>
  <rv s="2">
    <fb>75.2</fb>
    <v>17</v>
  </rv>
  <rv s="2">
    <fb>76.63</fb>
    <v>17</v>
  </rv>
  <rv s="2">
    <fb>74.88</fb>
    <v>17</v>
  </rv>
  <rv s="2">
    <fb>75.94</fb>
    <v>17</v>
  </rv>
  <rv s="2">
    <fb>76.41</fb>
    <v>17</v>
  </rv>
  <rv s="2">
    <fb>78.87</fb>
    <v>17</v>
  </rv>
  <rv s="2">
    <fb>76.599999999999994</fb>
    <v>17</v>
  </rv>
  <rv s="2">
    <fb>76.680000000000007</fb>
    <v>17</v>
  </rv>
  <rv s="2">
    <fb>76.23</fb>
    <v>17</v>
  </rv>
  <rv s="2">
    <fb>76.08</fb>
    <v>17</v>
  </rv>
  <rv s="2">
    <fb>77.84</fb>
    <v>17</v>
  </rv>
  <rv s="2">
    <fb>77.739999999999995</fb>
    <v>17</v>
  </rv>
  <rv s="2">
    <fb>77.08</fb>
    <v>17</v>
  </rv>
  <rv s="2">
    <fb>78.48</fb>
    <v>17</v>
  </rv>
  <rv s="2">
    <fb>78.790000000000006</fb>
    <v>17</v>
  </rv>
  <rv s="2">
    <fb>77.38</fb>
    <v>17</v>
  </rv>
  <rv s="2">
    <fb>79.069999999999993</fb>
    <v>17</v>
  </rv>
  <rv s="2">
    <fb>80.06</fb>
    <v>17</v>
  </rv>
  <rv s="2">
    <fb>76.53</fb>
    <v>17</v>
  </rv>
  <rv s="2">
    <fb>78.5</fb>
    <v>17</v>
  </rv>
  <rv s="2">
    <fb>78.38</fb>
    <v>17</v>
  </rv>
  <rv s="2">
    <fb>79.3</fb>
    <v>17</v>
  </rv>
  <rv s="2">
    <fb>79.5</fb>
    <v>17</v>
  </rv>
  <rv s="2">
    <fb>81.5</fb>
    <v>17</v>
  </rv>
  <rv s="2">
    <fb>81.55</fb>
    <v>17</v>
  </rv>
  <rv s="2">
    <fb>81.75</fb>
    <v>17</v>
  </rv>
  <rv s="2">
    <fb>82.94</fb>
    <v>17</v>
  </rv>
  <rv s="2">
    <fb>83.94</fb>
    <v>17</v>
  </rv>
  <rv s="2">
    <fb>83.7</fb>
    <v>17</v>
  </rv>
  <rv s="2">
    <fb>82.29</fb>
    <v>17</v>
  </rv>
  <rv s="2">
    <fb>82.86</fb>
    <v>17</v>
  </rv>
  <rv s="2">
    <fb>83.31</fb>
    <v>17</v>
  </rv>
  <rv s="2">
    <fb>82.72</fb>
    <v>17</v>
  </rv>
  <rv s="2">
    <fb>83.38</fb>
    <v>17</v>
  </rv>
  <rv s="2">
    <fb>80.430000000000007</fb>
    <v>17</v>
  </rv>
  <rv s="2">
    <fb>77.03</fb>
    <v>17</v>
  </rv>
  <rv s="2">
    <fb>77.05</fb>
    <v>17</v>
  </rv>
  <rv s="2">
    <fb>76.19</fb>
    <v>17</v>
  </rv>
  <rv s="2">
    <fb>77.56</fb>
    <v>17</v>
  </rv>
  <rv s="2">
    <fb>76.52</fb>
    <v>17</v>
  </rv>
  <rv s="2">
    <fb>76.7</fb>
    <v>17</v>
  </rv>
  <rv s="2">
    <fb>77.87</fb>
    <v>17</v>
  </rv>
  <rv s="2">
    <fb>78.16</fb>
    <v>17</v>
  </rv>
  <rv s="2">
    <fb>79.41</fb>
    <v>17</v>
  </rv>
  <rv s="2">
    <fb>80.33</fb>
    <v>17</v>
  </rv>
  <rv s="2">
    <fb>79.17</fb>
    <v>17</v>
  </rv>
  <rv s="2">
    <fb>77.67</fb>
    <v>17</v>
  </rv>
  <rv s="2">
    <fb>78.39</fb>
    <v>17</v>
  </rv>
  <rv s="2">
    <fb>78.680000000000007</fb>
    <v>17</v>
  </rv>
  <rv s="2">
    <fb>78.930000000000007</fb>
    <v>17</v>
  </rv>
  <rv s="2">
    <fb>78.22</fb>
    <v>17</v>
  </rv>
  <rv s="2">
    <fb>78.430000000000007</fb>
    <v>17</v>
  </rv>
  <rv s="2">
    <fb>77.540000000000006</fb>
    <v>17</v>
  </rv>
  <rv s="2">
    <fb>77.45</fb>
    <v>17</v>
  </rv>
  <rv s="2">
    <fb>77.33</fb>
    <v>17</v>
  </rv>
  <rv s="2">
    <fb>78.34</fb>
    <v>17</v>
  </rv>
  <rv s="2">
    <fb>77.53</fb>
    <v>17</v>
  </rv>
  <rv s="2">
    <fb>78</fb>
    <v>17</v>
  </rv>
  <rv s="2">
    <fb>75.5</fb>
    <v>17</v>
  </rv>
  <rv s="2">
    <fb>74.63</fb>
    <v>17</v>
  </rv>
  <rv s="2">
    <fb>75.540000000000006</fb>
    <v>17</v>
  </rv>
  <rv s="2">
    <fb>75.44</fb>
    <v>17</v>
  </rv>
  <rv s="2">
    <fb>75.75</fb>
    <v>17</v>
  </rv>
  <rv s="2">
    <fb>77.98</fb>
    <v>17</v>
  </rv>
  <rv s="2">
    <fb>74.89</fb>
    <v>17</v>
  </rv>
  <rv s="2">
    <fb>69.099999999999994</fb>
    <v>17</v>
  </rv>
  <rv s="2">
    <fb>67.930000000000007</fb>
    <v>17</v>
  </rv>
  <rv s="2">
    <fb>68.37</fb>
    <v>17</v>
  </rv>
  <rv s="2">
    <fb>68.72</fb>
    <v>17</v>
  </rv>
  <rv s="2">
    <fb>68.48</fb>
    <v>17</v>
  </rv>
  <rv s="2">
    <fb>69.19</fb>
    <v>17</v>
  </rv>
  <rv s="2">
    <fb>66.739999999999995</fb>
    <v>17</v>
  </rv>
  <rv s="2">
    <fb>66.94</fb>
    <v>17</v>
  </rv>
  <rv s="2">
    <fb>66.47</fb>
    <v>17</v>
  </rv>
  <rv s="2">
    <fb>67.06</fb>
    <v>17</v>
  </rv>
  <rv s="2">
    <fb>66</fb>
    <v>17</v>
  </rv>
  <rv s="2">
    <fb>65.98</fb>
    <v>17</v>
  </rv>
  <rv s="2">
    <fb>65.34</fb>
    <v>17</v>
  </rv>
  <rv s="2">
    <fb>65.489999999999995</fb>
    <v>17</v>
  </rv>
  <rv s="3">
    <v>https://www.bing.com/financeapi/forcetrigger?t=c2rtrw&amp;q=XFRA%3aPPFB&amp;form=skydnc</v>
    <v>Learn more on Bing</v>
  </rv>
  <rv s="6">
    <v>18</v>
    <v>19</v>
    <v>ISHARES PHYSICAL GOLD ETC (XFRA:PPFB)</v>
    <v>20</v>
    <v>21</v>
    <v>Finance</v>
    <v>16</v>
    <v>fr-FR</v>
    <v>c2rtrw</v>
    <v>268435456</v>
    <v>1</v>
    <v>Avec Refinitiv</v>
    <v>XFRA</v>
    <v>66.900000000000006</v>
    <v>Deutsche Boerse AG</v>
    <v>67.05</v>
    <v>PPFB</v>
    <v>45968.878472222219</v>
    <v>EUR</v>
    <v>67.64</v>
    <v>732</v>
    <v>2.908E-3</v>
    <v>0.19500000000000001</v>
    <v>ISHARES PHYSICAL GOLD ETC</v>
    <v>67.64</v>
    <v>67.245000000000005</v>
    <v>Fonds coté en bourse</v>
    <v>ISHARES PHYSICAL GOLD ETC (XFRA:PPFB)</v>
    <v>5849</v>
  </rv>
  <rv s="1">
    <v>733</v>
  </rv>
  <rv s="2">
    <fb>47.75</fb>
    <v>17</v>
  </rv>
  <rv s="2">
    <fb>47.432000000000002</fb>
    <v>17</v>
  </rv>
  <rv s="2">
    <fb>47.368000000000002</fb>
    <v>17</v>
  </rv>
  <rv s="2">
    <fb>47.2</fb>
    <v>17</v>
  </rv>
  <rv s="2">
    <fb>47.16</fb>
    <v>17</v>
  </rv>
  <rv s="2">
    <fb>47.734000000000002</fb>
    <v>17</v>
  </rv>
  <rv s="2">
    <fb>48.176000000000002</fb>
    <v>17</v>
  </rv>
  <rv s="2">
    <fb>48.713999999999999</fb>
    <v>17</v>
  </rv>
  <rv s="2">
    <fb>49.405999999999999</fb>
    <v>17</v>
  </rv>
  <rv s="2">
    <fb>50.424999999999997</fb>
    <v>17</v>
  </rv>
  <rv s="2">
    <fb>48.351999999999997</fb>
    <v>17</v>
  </rv>
  <rv s="2">
    <fb>48.542000000000002</fb>
    <v>17</v>
  </rv>
  <rv s="2">
    <fb>48.393999999999998</fb>
    <v>17</v>
  </rv>
  <rv s="2">
    <fb>48.5</fb>
    <v>17</v>
  </rv>
  <rv s="2">
    <fb>48.735999999999997</fb>
    <v>17</v>
  </rv>
  <rv s="2">
    <fb>48.69</fb>
    <v>17</v>
  </rv>
  <rv s="2">
    <fb>48.67</fb>
    <v>17</v>
  </rv>
  <rv s="2">
    <fb>48.78</fb>
    <v>17</v>
  </rv>
  <rv s="2">
    <fb>48.194000000000003</fb>
    <v>17</v>
  </rv>
  <rv s="2">
    <fb>48.41</fb>
    <v>17</v>
  </rv>
  <rv s="2">
    <fb>48.844000000000001</fb>
    <v>17</v>
  </rv>
  <rv s="2">
    <fb>49.585999999999999</fb>
    <v>17</v>
  </rv>
  <rv s="2">
    <fb>50.21</fb>
    <v>17</v>
  </rv>
  <rv s="2">
    <fb>49.567999999999998</fb>
    <v>17</v>
  </rv>
  <rv s="2">
    <fb>49.026000000000003</fb>
    <v>17</v>
  </rv>
  <rv s="2">
    <fb>48.968000000000004</fb>
    <v>17</v>
  </rv>
  <rv s="2">
    <fb>48.856000000000002</fb>
    <v>17</v>
  </rv>
  <rv s="2">
    <fb>48.765999999999998</fb>
    <v>17</v>
  </rv>
  <rv s="2">
    <fb>48.521999999999998</fb>
    <v>17</v>
  </rv>
  <rv s="2">
    <fb>48.753999999999998</fb>
    <v>17</v>
  </rv>
  <rv s="2">
    <fb>48.62</fb>
    <v>17</v>
  </rv>
  <rv s="2">
    <fb>48.63</fb>
    <v>17</v>
  </rv>
  <rv s="2">
    <fb>48.728000000000002</fb>
    <v>17</v>
  </rv>
  <rv s="2">
    <fb>50.164999999999999</fb>
    <v>17</v>
  </rv>
  <rv s="2">
    <fb>49.7</fb>
    <v>17</v>
  </rv>
  <rv s="2">
    <fb>49.228000000000002</fb>
    <v>17</v>
  </rv>
  <rv s="2">
    <fb>49.545999999999999</fb>
    <v>17</v>
  </rv>
  <rv s="2">
    <fb>49.932000000000002</fb>
    <v>17</v>
  </rv>
  <rv s="2">
    <fb>50.255000000000003</fb>
    <v>17</v>
  </rv>
  <rv s="2">
    <fb>50.865000000000002</fb>
    <v>17</v>
  </rv>
  <rv s="2">
    <fb>50.484999999999999</fb>
    <v>17</v>
  </rv>
  <rv s="2">
    <fb>50.274999999999999</fb>
    <v>17</v>
  </rv>
  <rv s="2">
    <fb>50.69</fb>
    <v>17</v>
  </rv>
  <rv s="2">
    <fb>51.155000000000001</fb>
    <v>17</v>
  </rv>
  <rv s="2">
    <fb>51.04</fb>
    <v>17</v>
  </rv>
  <rv s="2">
    <fb>50.53</fb>
    <v>17</v>
  </rv>
  <rv s="2">
    <fb>51.35</fb>
    <v>17</v>
  </rv>
  <rv s="2">
    <fb>51.34</fb>
    <v>17</v>
  </rv>
  <rv s="2">
    <fb>51.215000000000003</fb>
    <v>17</v>
  </rv>
  <rv s="2">
    <fb>51.14</fb>
    <v>17</v>
  </rv>
  <rv s="2">
    <fb>50.59</fb>
    <v>17</v>
  </rv>
  <rv s="2">
    <fb>51.414999999999999</fb>
    <v>17</v>
  </rv>
  <rv s="2">
    <fb>51.274999999999999</fb>
    <v>17</v>
  </rv>
  <rv s="2">
    <fb>52.21</fb>
    <v>17</v>
  </rv>
  <rv s="2">
    <fb>52.465000000000003</fb>
    <v>17</v>
  </rv>
  <rv s="2">
    <fb>53.274999999999999</fb>
    <v>17</v>
  </rv>
  <rv s="2">
    <fb>53.354999999999997</fb>
    <v>17</v>
  </rv>
  <rv s="2">
    <fb>53.49</fb>
    <v>17</v>
  </rv>
  <rv s="2">
    <fb>53.284999999999997</fb>
    <v>17</v>
  </rv>
  <rv s="2">
    <fb>53.82</fb>
    <v>17</v>
  </rv>
  <rv s="2">
    <fb>54.774999999999999</fb>
    <v>17</v>
  </rv>
  <rv s="2">
    <fb>54.505000000000003</fb>
    <v>17</v>
  </rv>
  <rv s="2">
    <fb>54.18</fb>
    <v>17</v>
  </rv>
  <rv s="2">
    <fb>54.59</fb>
    <v>17</v>
  </rv>
  <rv s="2">
    <fb>53.36</fb>
    <v>17</v>
  </rv>
  <rv s="2">
    <fb>53.685000000000002</fb>
    <v>17</v>
  </rv>
  <rv s="2">
    <fb>54.784999999999997</fb>
    <v>17</v>
  </rv>
  <rv s="2">
    <fb>54.405000000000001</fb>
    <v>17</v>
  </rv>
  <rv s="2">
    <fb>54.615000000000002</fb>
    <v>17</v>
  </rv>
  <rv s="2">
    <fb>54.594999999999999</fb>
    <v>17</v>
  </rv>
  <rv s="2">
    <fb>53.75</fb>
    <v>17</v>
  </rv>
  <rv s="2">
    <fb>53.94</fb>
    <v>17</v>
  </rv>
  <rv s="2">
    <fb>53.66</fb>
    <v>17</v>
  </rv>
  <rv s="2">
    <fb>53.204999999999998</fb>
    <v>17</v>
  </rv>
  <rv s="2">
    <fb>53.43</fb>
    <v>17</v>
  </rv>
  <rv s="2">
    <fb>53.6</fb>
    <v>17</v>
  </rv>
  <rv s="2">
    <fb>52.774999999999999</fb>
    <v>17</v>
  </rv>
  <rv s="2">
    <fb>52.615000000000002</fb>
    <v>17</v>
  </rv>
  <rv s="2">
    <fb>52.064999999999998</fb>
    <v>17</v>
  </rv>
  <rv s="2">
    <fb>51.79</fb>
    <v>17</v>
  </rv>
  <rv s="2">
    <fb>51.78</fb>
    <v>17</v>
  </rv>
  <rv s="2">
    <fb>52.484999999999999</fb>
    <v>17</v>
  </rv>
  <rv s="2">
    <fb>53.33</fb>
    <v>17</v>
  </rv>
  <rv s="2">
    <fb>53.405000000000001</fb>
    <v>17</v>
  </rv>
  <rv s="2">
    <fb>53.344999999999999</fb>
    <v>17</v>
  </rv>
  <rv s="2">
    <fb>53.865000000000002</fb>
    <v>17</v>
  </rv>
  <rv s="2">
    <fb>54.24</fb>
    <v>17</v>
  </rv>
  <rv s="2">
    <fb>54.45</fb>
    <v>17</v>
  </rv>
  <rv s="2">
    <fb>54.06</fb>
    <v>17</v>
  </rv>
  <rv s="2">
    <fb>54.46</fb>
    <v>17</v>
  </rv>
  <rv s="2">
    <fb>54.685000000000002</fb>
    <v>17</v>
  </rv>
  <rv s="2">
    <fb>55.104999999999997</fb>
    <v>17</v>
  </rv>
  <rv s="2">
    <fb>55.265000000000001</fb>
    <v>17</v>
  </rv>
  <rv s="2">
    <fb>56.024999999999999</fb>
    <v>17</v>
  </rv>
  <rv s="2">
    <fb>55.81</fb>
    <v>17</v>
  </rv>
  <rv s="2">
    <fb>55.844999999999999</fb>
    <v>17</v>
  </rv>
  <rv s="2">
    <fb>54.77</fb>
    <v>17</v>
  </rv>
  <rv s="2">
    <fb>53.484999999999999</fb>
    <v>17</v>
  </rv>
  <rv s="2">
    <fb>52.4</fb>
    <v>17</v>
  </rv>
  <rv s="2">
    <fb>53.1</fb>
    <v>17</v>
  </rv>
  <rv s="2">
    <fb>54.055</fb>
    <v>17</v>
  </rv>
  <rv s="2">
    <fb>54.914999999999999</fb>
    <v>17</v>
  </rv>
  <rv s="2">
    <fb>55.3</fb>
    <v>17</v>
  </rv>
  <rv s="2">
    <fb>55.295000000000002</fb>
    <v>17</v>
  </rv>
  <rv s="2">
    <fb>55.494999999999997</fb>
    <v>17</v>
  </rv>
  <rv s="2">
    <fb>56.625</fb>
    <v>17</v>
  </rv>
  <rv s="2">
    <fb>56.814999999999998</fb>
    <v>17</v>
  </rv>
  <rv s="2">
    <fb>57.795000000000002</fb>
    <v>17</v>
  </rv>
  <rv s="2">
    <fb>56.35</fb>
    <v>17</v>
  </rv>
  <rv s="2">
    <fb>56.935000000000002</fb>
    <v>17</v>
  </rv>
  <rv s="2">
    <fb>56.134999999999998</fb>
    <v>17</v>
  </rv>
  <rv s="2">
    <fb>56.76</fb>
    <v>17</v>
  </rv>
  <rv s="2">
    <fb>56.84</fb>
    <v>17</v>
  </rv>
  <rv s="2">
    <fb>56.645000000000003</fb>
    <v>17</v>
  </rv>
  <rv s="2">
    <fb>55.51</fb>
    <v>17</v>
  </rv>
  <rv s="2">
    <fb>56.884999999999998</fb>
    <v>17</v>
  </rv>
  <rv s="2">
    <fb>58.32</fb>
    <v>17</v>
  </rv>
  <rv s="2">
    <fb>57.954999999999998</fb>
    <v>17</v>
  </rv>
  <rv s="2">
    <fb>57.21</fb>
    <v>17</v>
  </rv>
  <rv s="2">
    <fb>57.5</fb>
    <v>17</v>
  </rv>
  <rv s="2">
    <fb>56.72</fb>
    <v>17</v>
  </rv>
  <rv s="2">
    <fb>56.39</fb>
    <v>17</v>
  </rv>
  <rv s="2">
    <fb>55.22</fb>
    <v>17</v>
  </rv>
  <rv s="2">
    <fb>55.965000000000003</fb>
    <v>17</v>
  </rv>
  <rv s="2">
    <fb>55.67</fb>
    <v>17</v>
  </rv>
  <rv s="2">
    <fb>56.494999999999997</fb>
    <v>17</v>
  </rv>
  <rv s="2">
    <fb>56.66</fb>
    <v>17</v>
  </rv>
  <rv s="2">
    <fb>56.79</fb>
    <v>17</v>
  </rv>
  <rv s="2">
    <fb>57.534999999999997</fb>
    <v>17</v>
  </rv>
  <rv s="2">
    <fb>57.01</fb>
    <v>17</v>
  </rv>
  <rv s="2">
    <fb>56.57</fb>
    <v>17</v>
  </rv>
  <rv s="2">
    <fb>56.67</fb>
    <v>17</v>
  </rv>
  <rv s="2">
    <fb>56.725000000000001</fb>
    <v>17</v>
  </rv>
  <rv s="2">
    <fb>56.255000000000003</fb>
    <v>17</v>
  </rv>
  <rv s="2">
    <fb>57.23</fb>
    <v>17</v>
  </rv>
  <rv s="2">
    <fb>57.42</fb>
    <v>17</v>
  </rv>
  <rv s="2">
    <fb>56.674999999999997</fb>
    <v>17</v>
  </rv>
  <rv s="2">
    <fb>56.52</fb>
    <v>17</v>
  </rv>
  <rv s="2">
    <fb>56.16</fb>
    <v>17</v>
  </rv>
  <rv s="2">
    <fb>56.77</fb>
    <v>17</v>
  </rv>
  <rv s="2">
    <fb>57.725000000000001</fb>
    <v>17</v>
  </rv>
  <rv s="2">
    <fb>56.94</fb>
    <v>17</v>
  </rv>
  <rv s="2">
    <fb>57.454999999999998</fb>
    <v>17</v>
  </rv>
  <rv s="2">
    <fb>57.16</fb>
    <v>17</v>
  </rv>
  <rv s="2">
    <fb>57.174999999999997</fb>
    <v>17</v>
  </rv>
  <rv s="2">
    <fb>56.71</fb>
    <v>17</v>
  </rv>
  <rv s="2">
    <fb>56.825000000000003</fb>
    <v>17</v>
  </rv>
  <rv s="2">
    <fb>55.435000000000002</fb>
    <v>17</v>
  </rv>
  <rv s="2">
    <fb>55.534999999999997</fb>
    <v>17</v>
  </rv>
  <rv s="2">
    <fb>55.225000000000001</fb>
    <v>17</v>
  </rv>
  <rv s="2">
    <fb>54.284999999999997</fb>
    <v>17</v>
  </rv>
  <rv s="2">
    <fb>55.024999999999999</fb>
    <v>17</v>
  </rv>
  <rv s="2">
    <fb>55.055</fb>
    <v>17</v>
  </rv>
  <rv s="2">
    <fb>54.965000000000003</fb>
    <v>17</v>
  </rv>
  <rv s="2">
    <fb>55.02</fb>
    <v>17</v>
  </rv>
  <rv s="2">
    <fb>55.35</fb>
    <v>17</v>
  </rv>
  <rv s="2">
    <fb>54.83</fb>
    <v>17</v>
  </rv>
  <rv s="2">
    <fb>55.134999999999998</fb>
    <v>17</v>
  </rv>
  <rv s="2">
    <fb>55.835000000000001</fb>
    <v>17</v>
  </rv>
  <rv s="2">
    <fb>55.884999999999998</fb>
    <v>17</v>
  </rv>
  <rv s="2">
    <fb>55.984999999999999</fb>
    <v>17</v>
  </rv>
  <rv s="2">
    <fb>56.02</fb>
    <v>17</v>
  </rv>
  <rv s="2">
    <fb>56.36</fb>
    <v>17</v>
  </rv>
  <rv s="2">
    <fb>56.69</fb>
    <v>17</v>
  </rv>
  <rv s="2">
    <fb>55.19</fb>
    <v>17</v>
  </rv>
  <rv s="2">
    <fb>55.384999999999998</fb>
    <v>17</v>
  </rv>
  <rv s="2">
    <fb>55.945</fb>
    <v>17</v>
  </rv>
  <rv s="2">
    <fb>55.854999999999997</fb>
    <v>17</v>
  </rv>
  <rv s="2">
    <fb>56.015000000000001</fb>
    <v>17</v>
  </rv>
  <rv s="2">
    <fb>56.37</fb>
    <v>17</v>
  </rv>
  <rv s="2">
    <fb>56.65</fb>
    <v>17</v>
  </rv>
  <rv s="2">
    <fb>56.704999999999998</fb>
    <v>17</v>
  </rv>
  <rv s="2">
    <fb>56.274999999999999</fb>
    <v>17</v>
  </rv>
  <rv s="2">
    <fb>56.575000000000003</fb>
    <v>17</v>
  </rv>
  <rv s="2">
    <fb>56.505000000000003</fb>
    <v>17</v>
  </rv>
  <rv s="2">
    <fb>56.18</fb>
    <v>17</v>
  </rv>
  <rv s="2">
    <fb>55.715000000000003</fb>
    <v>17</v>
  </rv>
  <rv s="2">
    <fb>55.7</fb>
    <v>17</v>
  </rv>
  <rv s="2">
    <fb>55.805</fb>
    <v>17</v>
  </rv>
  <rv s="2">
    <fb>55.39</fb>
    <v>17</v>
  </rv>
  <rv s="2">
    <fb>55.445</fb>
    <v>17</v>
  </rv>
  <rv s="2">
    <fb>55.72</fb>
    <v>17</v>
  </rv>
  <rv s="2">
    <fb>55.82</fb>
    <v>17</v>
  </rv>
  <rv s="2">
    <fb>56.24</fb>
    <v>17</v>
  </rv>
  <rv s="2">
    <fb>56.59</fb>
    <v>17</v>
  </rv>
  <rv s="2">
    <fb>56.7</fb>
    <v>17</v>
  </rv>
  <rv s="2">
    <fb>56.81</fb>
    <v>17</v>
  </rv>
  <rv s="2">
    <fb>57.195</fb>
    <v>17</v>
  </rv>
  <rv s="2">
    <fb>57.734999999999999</fb>
    <v>17</v>
  </rv>
  <rv s="2">
    <fb>59.255000000000003</fb>
    <v>17</v>
  </rv>
  <rv s="2">
    <fb>59.61</fb>
    <v>17</v>
  </rv>
  <rv s="2">
    <fb>59.234999999999999</fb>
    <v>17</v>
  </rv>
  <rv s="2">
    <fb>59.43</fb>
    <v>17</v>
  </rv>
  <rv s="2">
    <fb>60.055</fb>
    <v>17</v>
  </rv>
  <rv s="2">
    <fb>60.384999999999998</fb>
    <v>17</v>
  </rv>
  <rv s="2">
    <fb>60.524999999999999</fb>
    <v>17</v>
  </rv>
  <rv s="2">
    <fb>60.2</fb>
    <v>17</v>
  </rv>
  <rv s="2">
    <fb>60.47</fb>
    <v>17</v>
  </rv>
  <rv s="2">
    <fb>60.774999999999999</fb>
    <v>17</v>
  </rv>
  <rv s="2">
    <fb>60.54</fb>
    <v>17</v>
  </rv>
  <rv s="2">
    <fb>60.395000000000003</fb>
    <v>17</v>
  </rv>
  <rv s="2">
    <fb>60.8</fb>
    <v>17</v>
  </rv>
  <rv s="2">
    <fb>61.76</fb>
    <v>17</v>
  </rv>
  <rv s="2">
    <fb>62.25</fb>
    <v>17</v>
  </rv>
  <rv s="2">
    <fb>61.82</fb>
    <v>17</v>
  </rv>
  <rv s="2">
    <fb>62.335000000000001</fb>
    <v>17</v>
  </rv>
  <rv s="2">
    <fb>62.76</fb>
    <v>17</v>
  </rv>
  <rv s="2">
    <fb>63.47</fb>
    <v>17</v>
  </rv>
  <rv s="2">
    <fb>63.66</fb>
    <v>17</v>
  </rv>
  <rv s="2">
    <fb>63.884999999999998</fb>
    <v>17</v>
  </rv>
  <rv s="2">
    <fb>64.010000000000005</fb>
    <v>17</v>
  </rv>
  <rv s="2">
    <fb>64.290000000000006</fb>
    <v>17</v>
  </rv>
  <rv s="2">
    <fb>65.844999999999999</fb>
    <v>17</v>
  </rv>
  <rv s="2">
    <fb>66.48</fb>
    <v>17</v>
  </rv>
  <rv s="2">
    <fb>67.825000000000003</fb>
    <v>17</v>
  </rv>
  <rv s="2">
    <fb>66.814999999999998</fb>
    <v>17</v>
  </rv>
  <rv s="2">
    <fb>66.98</fb>
    <v>17</v>
  </rv>
  <rv s="2">
    <fb>68.989999999999995</fb>
    <v>17</v>
  </rv>
  <rv s="2">
    <fb>69.454999999999998</fb>
    <v>17</v>
  </rv>
  <rv s="2">
    <fb>70.215000000000003</fb>
    <v>17</v>
  </rv>
  <rv s="2">
    <fb>72.540000000000006</fb>
    <v>17</v>
  </rv>
  <rv s="2">
    <fb>71.39</fb>
    <v>17</v>
  </rv>
  <rv s="2">
    <fb>72.459999999999994</fb>
    <v>17</v>
  </rv>
  <rv s="2">
    <fb>68.290000000000006</fb>
    <v>17</v>
  </rv>
  <rv s="2">
    <fb>68.215000000000003</fb>
    <v>17</v>
  </rv>
  <rv s="2">
    <fb>69.34</fb>
    <v>17</v>
  </rv>
  <rv s="2">
    <fb>68.805000000000007</fb>
    <v>17</v>
  </rv>
  <rv s="2">
    <fb>66.83</fb>
    <v>17</v>
  </rv>
  <rv s="2">
    <fb>65.77</fb>
    <v>17</v>
  </rv>
  <rv s="2">
    <fb>66.504999999999995</fb>
    <v>17</v>
  </rv>
  <rv s="2">
    <fb>67.174999999999997</fb>
    <v>17</v>
  </rv>
  <rv s="2">
    <fb>67.58</fb>
    <v>17</v>
  </rv>
  <rv s="2">
    <fb>67.734999999999999</fb>
    <v>17</v>
  </rv>
  <rv s="2">
    <fb>66.78</fb>
    <v>17</v>
  </rv>
  <rv s="2">
    <fb>67.489999999999995</fb>
    <v>17</v>
  </rv>
  <rv s="2">
    <fb>67.045000000000002</fb>
    <v>17</v>
  </rv>
  <rv s="2">
    <fb>67.245000000000005</fb>
    <v>17</v>
  </rv>
  <rv s="3">
    <v>https://www.bing.com/financeapi/forcetrigger?t=aflhlh&amp;q=XFRA%3aSXR8&amp;form=skydnc</v>
    <v>Learn more on Bing</v>
  </rv>
  <rv s="7">
    <v>22</v>
    <v>23</v>
    <v>iShs Cr S&amp;P 500 ETF USD A (XFRA:SXR8)</v>
    <v>20</v>
    <v>24</v>
    <v>Finance</v>
    <v>16</v>
    <v>fr-FR</v>
    <v>aflhlh</v>
    <v>268435456</v>
    <v>1</v>
    <v>Avec Refinitiv</v>
    <v>XFRA</v>
    <v>613</v>
    <v>199.74</v>
    <v>135221267082.78999</v>
    <v>Deutsche Boerse AG</v>
    <v>625.28</v>
    <v>SXR8</v>
    <v>45968.878472222219</v>
    <v>EUR</v>
    <v>625</v>
    <v>638.86</v>
    <v>972</v>
    <v>-6.5890000000000002E-3</v>
    <v>-4.12</v>
    <v>iShs Cr S&amp;P 500 ETF USD A</v>
    <v>624.82000000000005</v>
    <v>621.16</v>
    <v>7.000000000000001E-4</v>
    <v>Fonds coté en bourse</v>
    <v>iShs Cr S&amp;P 500 ETF USD A (XFRA:SXR8)</v>
    <v>295</v>
  </rv>
  <rv s="1">
    <v>973</v>
  </rv>
  <rv s="2">
    <fb>596.28</fb>
    <v>17</v>
  </rv>
  <rv s="2">
    <fb>598.36</fb>
    <v>17</v>
  </rv>
  <rv s="2">
    <fb>599.9</fb>
    <v>17</v>
  </rv>
  <rv s="2">
    <fb>599.6</fb>
    <v>17</v>
  </rv>
  <rv s="2">
    <fb>590.44000000000005</fb>
    <v>17</v>
  </rv>
  <rv s="2">
    <fb>588.55999999999995</fb>
    <v>17</v>
  </rv>
  <rv s="2">
    <fb>591.5</fb>
    <v>17</v>
  </rv>
  <rv s="2">
    <fb>594.22</fb>
    <v>17</v>
  </rv>
  <rv s="2">
    <fb>602.55999999999995</fb>
    <v>17</v>
  </rv>
  <rv s="2">
    <fb>606.96</fb>
    <v>17</v>
  </rv>
  <rv s="2">
    <fb>604.48</fb>
    <v>17</v>
  </rv>
  <rv s="2">
    <fb>608.96</fb>
    <v>17</v>
  </rv>
  <rv s="2">
    <fb>600.79999999999995</fb>
    <v>17</v>
  </rv>
  <rv s="2">
    <fb>603.74</fb>
    <v>17</v>
  </rv>
  <rv s="2">
    <fb>604.79999999999995</fb>
    <v>17</v>
  </rv>
  <rv s="2">
    <fb>610.20000000000005</fb>
    <v>17</v>
  </rv>
  <rv s="2">
    <fb>609.79999999999995</fb>
    <v>17</v>
  </rv>
  <rv s="2">
    <fb>610.52</fb>
    <v>17</v>
  </rv>
  <rv s="2">
    <fb>610.54</fb>
    <v>17</v>
  </rv>
  <rv s="2">
    <fb>611.08000000000004</fb>
    <v>17</v>
  </rv>
  <rv s="2">
    <fb>608.29999999999995</fb>
    <v>17</v>
  </rv>
  <rv s="2">
    <fb>607.29999999999995</fb>
    <v>17</v>
  </rv>
  <rv s="2">
    <fb>615.02</fb>
    <v>17</v>
  </rv>
  <rv s="2">
    <fb>613.29999999999995</fb>
    <v>17</v>
  </rv>
  <rv s="2">
    <fb>611.38</fb>
    <v>17</v>
  </rv>
  <rv s="2">
    <fb>614.16</fb>
    <v>17</v>
  </rv>
  <rv s="2">
    <fb>610.91999999999996</fb>
    <v>17</v>
  </rv>
  <rv s="2">
    <fb>603.58000000000004</fb>
    <v>17</v>
  </rv>
  <rv s="2">
    <fb>603.98</fb>
    <v>17</v>
  </rv>
  <rv s="2">
    <fb>605.62</fb>
    <v>17</v>
  </rv>
  <rv s="2">
    <fb>607.26</fb>
    <v>17</v>
  </rv>
  <rv s="2">
    <fb>604.96</fb>
    <v>17</v>
  </rv>
  <rv s="2">
    <fb>601.26</fb>
    <v>17</v>
  </rv>
  <rv s="2">
    <fb>602.76</fb>
    <v>17</v>
  </rv>
  <rv s="2">
    <fb>611.1</fb>
    <v>17</v>
  </rv>
  <rv s="2">
    <fb>611.48</fb>
    <v>17</v>
  </rv>
  <rv s="2">
    <fb>607.66</fb>
    <v>17</v>
  </rv>
  <rv s="2">
    <fb>607.64</fb>
    <v>17</v>
  </rv>
  <rv s="2">
    <fb>608.91999999999996</fb>
    <v>17</v>
  </rv>
  <rv s="2">
    <fb>603.67999999999995</fb>
    <v>17</v>
  </rv>
  <rv s="2">
    <fb>603.96</fb>
    <v>17</v>
  </rv>
  <rv s="2">
    <fb>603.28</fb>
    <v>17</v>
  </rv>
  <rv s="2">
    <fb>613.54</fb>
    <v>17</v>
  </rv>
  <rv s="2">
    <fb>612.28</fb>
    <v>17</v>
  </rv>
  <rv s="2">
    <fb>620.04</fb>
    <v>17</v>
  </rv>
  <rv s="2">
    <fb>615.08000000000004</fb>
    <v>17</v>
  </rv>
  <rv s="2">
    <fb>615.48</fb>
    <v>17</v>
  </rv>
  <rv s="2">
    <fb>620.29999999999995</fb>
    <v>17</v>
  </rv>
  <rv s="2">
    <fb>621.22</fb>
    <v>17</v>
  </rv>
  <rv s="2">
    <fb>617.08000000000004</fb>
    <v>17</v>
  </rv>
  <rv s="2">
    <fb>606.64</fb>
    <v>17</v>
  </rv>
  <rv s="2">
    <fb>618.02</fb>
    <v>17</v>
  </rv>
  <rv s="2">
    <fb>614.4</fb>
    <v>17</v>
  </rv>
  <rv s="2">
    <fb>617.96</fb>
    <v>17</v>
  </rv>
  <rv s="2">
    <fb>619.91999999999996</fb>
    <v>17</v>
  </rv>
  <rv s="2">
    <fb>619.96</fb>
    <v>17</v>
  </rv>
  <rv s="2">
    <fb>617</fb>
    <v>17</v>
  </rv>
  <rv s="2">
    <fb>615.67999999999995</fb>
    <v>17</v>
  </rv>
  <rv s="2">
    <fb>620.44000000000005</fb>
    <v>17</v>
  </rv>
  <rv s="2">
    <fb>621.52</fb>
    <v>17</v>
  </rv>
  <rv s="2">
    <fb>624.26</fb>
    <v>17</v>
  </rv>
  <rv s="2">
    <fb>622.5</fb>
    <v>17</v>
  </rv>
  <rv s="2">
    <fb>618.52</fb>
    <v>17</v>
  </rv>
  <rv s="2">
    <fb>620.08000000000004</fb>
    <v>17</v>
  </rv>
  <rv s="2">
    <fb>617.91999999999996</fb>
    <v>17</v>
  </rv>
  <rv s="2">
    <fb>621.08000000000004</fb>
    <v>17</v>
  </rv>
  <rv s="2">
    <fb>621.84</fb>
    <v>17</v>
  </rv>
  <rv s="2">
    <fb>626.14</fb>
    <v>17</v>
  </rv>
  <rv s="2">
    <fb>617.54</fb>
    <v>17</v>
  </rv>
  <rv s="2">
    <fb>613.28</fb>
    <v>17</v>
  </rv>
  <rv s="2">
    <fb>610.41999999999996</fb>
    <v>17</v>
  </rv>
  <rv s="2">
    <fb>602.36</fb>
    <v>17</v>
  </rv>
  <rv s="2">
    <fb>602.28</fb>
    <v>17</v>
  </rv>
  <rv s="2">
    <fb>600</fb>
    <v>17</v>
  </rv>
  <rv s="2">
    <fb>600.02</fb>
    <v>17</v>
  </rv>
  <rv s="2">
    <fb>591.82000000000005</fb>
    <v>17</v>
  </rv>
  <rv s="2">
    <fb>583.41999999999996</fb>
    <v>17</v>
  </rv>
  <rv s="2">
    <fb>575.96</fb>
    <v>17</v>
  </rv>
  <rv s="2">
    <fb>564.58000000000004</fb>
    <v>17</v>
  </rv>
  <rv s="2">
    <fb>565.24</fb>
    <v>17</v>
  </rv>
  <rv s="2">
    <fb>551.34</fb>
    <v>17</v>
  </rv>
  <rv s="2">
    <fb>544.20000000000005</fb>
    <v>17</v>
  </rv>
  <rv s="2">
    <fb>545.72</fb>
    <v>17</v>
  </rv>
  <rv s="2">
    <fb>540.58000000000004</fb>
    <v>17</v>
  </rv>
  <rv s="2">
    <fb>550.02</fb>
    <v>17</v>
  </rv>
  <rv s="2">
    <fb>552.62</fb>
    <v>17</v>
  </rv>
  <rv s="2">
    <fb>546.08000000000004</fb>
    <v>17</v>
  </rv>
  <rv s="2">
    <fb>553.94000000000005</fb>
    <v>17</v>
  </rv>
  <rv s="2">
    <fb>553.88</fb>
    <v>17</v>
  </rv>
  <rv s="2">
    <fb>554.94000000000005</fb>
    <v>17</v>
  </rv>
  <rv s="2">
    <fb>566.17999999999995</fb>
    <v>17</v>
  </rv>
  <rv s="2">
    <fb>569.62</fb>
    <v>17</v>
  </rv>
  <rv s="2">
    <fb>564.34</fb>
    <v>17</v>
  </rv>
  <rv s="2">
    <fb>562.1</fb>
    <v>17</v>
  </rv>
  <rv s="2">
    <fb>548</fb>
    <v>17</v>
  </rv>
  <rv s="2">
    <fb>549.91999999999996</fb>
    <v>17</v>
  </rv>
  <rv s="2">
    <fb>552.96</fb>
    <v>17</v>
  </rv>
  <rv s="2">
    <fb>552.55999999999995</fb>
    <v>17</v>
  </rv>
  <rv s="2">
    <fb>521.46</fb>
    <v>17</v>
  </rv>
  <rv s="2">
    <fb>498.32</fb>
    <v>17</v>
  </rv>
  <rv s="2">
    <fb>495.52</fb>
    <v>17</v>
  </rv>
  <rv s="2">
    <fb>483.06</fb>
    <v>17</v>
  </rv>
  <rv s="2">
    <fb>532.32000000000005</fb>
    <v>17</v>
  </rv>
  <rv s="2">
    <fb>500.3</fb>
    <v>17</v>
  </rv>
  <rv s="2">
    <fb>502.84</fb>
    <v>17</v>
  </rv>
  <rv s="2">
    <fb>507.88</fb>
    <v>17</v>
  </rv>
  <rv s="2">
    <fb>509.84</fb>
    <v>17</v>
  </rv>
  <rv s="2">
    <fb>497.58</fb>
    <v>17</v>
  </rv>
  <rv s="2">
    <fb>498.87</fb>
    <v>17</v>
  </rv>
  <rv s="2">
    <fb>487.83</fb>
    <v>17</v>
  </rv>
  <rv s="2">
    <fb>503.66</fb>
    <v>17</v>
  </rv>
  <rv s="2">
    <fb>511.94</fb>
    <v>17</v>
  </rv>
  <rv s="2">
    <fb>516.82000000000005</fb>
    <v>17</v>
  </rv>
  <rv s="2">
    <fb>515.88</fb>
    <v>17</v>
  </rv>
  <rv s="2">
    <fb>517.55999999999995</fb>
    <v>17</v>
  </rv>
  <rv s="2">
    <fb>518.05999999999995</fb>
    <v>17</v>
  </rv>
  <rv s="2">
    <fb>534.26</fb>
    <v>17</v>
  </rv>
  <rv s="2">
    <fb>534.46</fb>
    <v>17</v>
  </rv>
  <rv s="2">
    <fb>524.34</fb>
    <v>17</v>
  </rv>
  <rv s="2">
    <fb>527.79999999999995</fb>
    <v>17</v>
  </rv>
  <rv s="2">
    <fb>541.24</fb>
    <v>17</v>
  </rv>
  <rv s="2">
    <fb>534.58000000000004</fb>
    <v>17</v>
  </rv>
  <rv s="2">
    <fb>560.29999999999995</fb>
    <v>17</v>
  </rv>
  <rv s="2">
    <fb>561.55999999999995</fb>
    <v>17</v>
  </rv>
  <rv s="2">
    <fb>560.76</fb>
    <v>17</v>
  </rv>
  <rv s="2">
    <fb>563.94000000000005</fb>
    <v>17</v>
  </rv>
  <rv s="2">
    <fb>568.08000000000004</fb>
    <v>17</v>
  </rv>
  <rv s="2">
    <fb>565.54</fb>
    <v>17</v>
  </rv>
  <rv s="2">
    <fb>562.22</fb>
    <v>17</v>
  </rv>
  <rv s="2">
    <fb>548.66</fb>
    <v>17</v>
  </rv>
  <rv s="2">
    <fb>554</fb>
    <v>17</v>
  </rv>
  <rv s="2">
    <fb>544.98</fb>
    <v>17</v>
  </rv>
  <rv s="2">
    <fb>549.94000000000005</fb>
    <v>17</v>
  </rv>
  <rv s="2">
    <fb>555.54</fb>
    <v>17</v>
  </rv>
  <rv s="2">
    <fb>557.46</fb>
    <v>17</v>
  </rv>
  <rv s="2">
    <fb>553.54</fb>
    <v>17</v>
  </rv>
  <rv s="2">
    <fb>550.38</fb>
    <v>17</v>
  </rv>
  <rv s="2">
    <fb>552.29999999999995</fb>
    <v>17</v>
  </rv>
  <rv s="2">
    <fb>559.72</fb>
    <v>17</v>
  </rv>
  <rv s="2">
    <fb>557.52</fb>
    <v>17</v>
  </rv>
  <rv s="2">
    <fb>556.17999999999995</fb>
    <v>17</v>
  </rv>
  <rv s="2">
    <fb>560.64</fb>
    <v>17</v>
  </rv>
  <rv s="2">
    <fb>561.05999999999995</fb>
    <v>17</v>
  </rv>
  <rv s="2">
    <fb>562.58000000000004</fb>
    <v>17</v>
  </rv>
  <rv s="2">
    <fb>559.34</fb>
    <v>17</v>
  </rv>
  <rv s="2">
    <fb>556.22</fb>
    <v>17</v>
  </rv>
  <rv s="2">
    <fb>554.05999999999995</fb>
    <v>17</v>
  </rv>
  <rv s="2">
    <fb>555.94000000000005</fb>
    <v>17</v>
  </rv>
  <rv s="2">
    <fb>555.96</fb>
    <v>17</v>
  </rv>
  <rv s="2">
    <fb>555.48</fb>
    <v>17</v>
  </rv>
  <rv s="2">
    <fb>551.76</fb>
    <v>17</v>
  </rv>
  <rv s="2">
    <fb>551.64</fb>
    <v>17</v>
  </rv>
  <rv s="2">
    <fb>554.41999999999996</fb>
    <v>17</v>
  </rv>
  <rv s="2">
    <fb>559.91999999999996</fb>
    <v>17</v>
  </rv>
  <rv s="2">
    <fb>558.12</fb>
    <v>17</v>
  </rv>
  <rv s="2">
    <fb>557.84</fb>
    <v>17</v>
  </rv>
  <rv s="2">
    <fb>562.17999999999995</fb>
    <v>17</v>
  </rv>
  <rv s="2">
    <fb>560.24</fb>
    <v>17</v>
  </rv>
  <rv s="2">
    <fb>561.67999999999995</fb>
    <v>17</v>
  </rv>
  <rv s="2">
    <fb>562.02</fb>
    <v>17</v>
  </rv>
  <rv s="2">
    <fb>568.79999999999995</fb>
    <v>17</v>
  </rv>
  <rv s="2">
    <fb>564.79999999999995</fb>
    <v>17</v>
  </rv>
  <rv s="2">
    <fb>566.86</fb>
    <v>17</v>
  </rv>
  <rv s="2">
    <fb>566.62</fb>
    <v>17</v>
  </rv>
  <rv s="2">
    <fb>569.17999999999995</fb>
    <v>17</v>
  </rv>
  <rv s="2">
    <fb>573.48</fb>
    <v>17</v>
  </rv>
  <rv s="2">
    <fb>571.6</fb>
    <v>17</v>
  </rv>
  <rv s="2">
    <fb>572.96</fb>
    <v>17</v>
  </rv>
  <rv s="2">
    <fb>575</fb>
    <v>17</v>
  </rv>
  <rv s="2">
    <fb>572.28</fb>
    <v>17</v>
  </rv>
  <rv s="2">
    <fb>579.14</fb>
    <v>17</v>
  </rv>
  <rv s="2">
    <fb>577.54</fb>
    <v>17</v>
  </rv>
  <rv s="2">
    <fb>578.05999999999995</fb>
    <v>17</v>
  </rv>
  <rv s="2">
    <fb>573</fb>
    <v>17</v>
  </rv>
  <rv s="2">
    <fb>575.79999999999995</fb>
    <v>17</v>
  </rv>
  <rv s="2">
    <fb>577.88</fb>
    <v>17</v>
  </rv>
  <rv s="2">
    <fb>581.14</fb>
    <v>17</v>
  </rv>
  <rv s="2">
    <fb>587.34</fb>
    <v>17</v>
  </rv>
  <rv s="2">
    <fb>589.12</fb>
    <v>17</v>
  </rv>
  <rv s="2">
    <fb>593.08000000000004</fb>
    <v>17</v>
  </rv>
  <rv s="2">
    <fb>594.58000000000004</fb>
    <v>17</v>
  </rv>
  <rv s="2">
    <fb>576.64</fb>
    <v>17</v>
  </rv>
  <rv s="2">
    <fb>583.22</fb>
    <v>17</v>
  </rv>
  <rv s="2">
    <fb>581.34</fb>
    <v>17</v>
  </rv>
  <rv s="2">
    <fb>580.96</fb>
    <v>17</v>
  </rv>
  <rv s="2">
    <fb>579.66</fb>
    <v>17</v>
  </rv>
  <rv s="2">
    <fb>585.08000000000004</fb>
    <v>17</v>
  </rv>
  <rv s="2">
    <fb>585.29999999999995</fb>
    <v>17</v>
  </rv>
  <rv s="2">
    <fb>588.98</fb>
    <v>17</v>
  </rv>
  <rv s="2">
    <fb>588.86</fb>
    <v>17</v>
  </rv>
  <rv s="2">
    <fb>589.08000000000004</fb>
    <v>17</v>
  </rv>
  <rv s="2">
    <fb>589.58000000000004</fb>
    <v>17</v>
  </rv>
  <rv s="2">
    <fb>587.6</fb>
    <v>17</v>
  </rv>
  <rv s="2">
    <fb>585.96</fb>
    <v>17</v>
  </rv>
  <rv s="2">
    <fb>584.32000000000005</fb>
    <v>17</v>
  </rv>
  <rv s="2">
    <fb>588.74</fb>
    <v>17</v>
  </rv>
  <rv s="2">
    <fb>593.05999999999995</fb>
    <v>17</v>
  </rv>
  <rv s="2">
    <fb>591.28</fb>
    <v>17</v>
  </rv>
  <rv s="2">
    <fb>594.38</fb>
    <v>17</v>
  </rv>
  <rv s="2">
    <fb>594.52</fb>
    <v>17</v>
  </rv>
  <rv s="2">
    <fb>588.9</fb>
    <v>17</v>
  </rv>
  <rv s="2">
    <fb>590.36</fb>
    <v>17</v>
  </rv>
  <rv s="2">
    <fb>586.34</fb>
    <v>17</v>
  </rv>
  <rv s="2">
    <fb>588.5</fb>
    <v>17</v>
  </rv>
  <rv s="2">
    <fb>594.74</fb>
    <v>17</v>
  </rv>
  <rv s="2">
    <fb>589.84</fb>
    <v>17</v>
  </rv>
  <rv s="2">
    <fb>592.86</fb>
    <v>17</v>
  </rv>
  <rv s="2">
    <fb>596.16</fb>
    <v>17</v>
  </rv>
  <rv s="2">
    <fb>599.34</fb>
    <v>17</v>
  </rv>
  <rv s="2">
    <fb>599.94000000000005</fb>
    <v>17</v>
  </rv>
  <rv s="2">
    <fb>599.86</fb>
    <v>17</v>
  </rv>
  <rv s="2">
    <fb>594.84</fb>
    <v>17</v>
  </rv>
  <rv s="2">
    <fb>594.54</fb>
    <v>17</v>
  </rv>
  <rv s="2">
    <fb>601.44000000000005</fb>
    <v>17</v>
  </rv>
  <rv s="2">
    <fb>604.9</fb>
    <v>17</v>
  </rv>
  <rv s="2">
    <fb>606.38</fb>
    <v>17</v>
  </rv>
  <rv s="2">
    <fb>602.78</fb>
    <v>17</v>
  </rv>
  <rv s="2">
    <fb>604.38</fb>
    <v>17</v>
  </rv>
  <rv s="2">
    <fb>604.67999999999995</fb>
    <v>17</v>
  </rv>
  <rv s="2">
    <fb>606.48</fb>
    <v>17</v>
  </rv>
  <rv s="2">
    <fb>606.6</fb>
    <v>17</v>
  </rv>
  <rv s="2">
    <fb>604.04</fb>
    <v>17</v>
  </rv>
  <rv s="2">
    <fb>611.02</fb>
    <v>17</v>
  </rv>
  <rv s="2">
    <fb>611.98</fb>
    <v>17</v>
  </rv>
  <rv s="2">
    <fb>611.86</fb>
    <v>17</v>
  </rv>
  <rv s="2">
    <fb>615.70000000000005</fb>
    <v>17</v>
  </rv>
  <rv s="2">
    <fb>615.66</fb>
    <v>17</v>
  </rv>
  <rv s="2">
    <fb>621.94000000000005</fb>
    <v>17</v>
  </rv>
  <rv s="2">
    <fb>605</fb>
    <v>17</v>
  </rv>
  <rv s="2">
    <fb>614.62</fb>
    <v>17</v>
  </rv>
  <rv s="2">
    <fb>614.58000000000004</fb>
    <v>17</v>
  </rv>
  <rv s="2">
    <fb>609.74</fb>
    <v>17</v>
  </rv>
  <rv s="2">
    <fb>605.70000000000005</fb>
    <v>17</v>
  </rv>
  <rv s="2">
    <fb>608.16</fb>
    <v>17</v>
  </rv>
  <rv s="2">
    <fb>619.02</fb>
    <v>17</v>
  </rv>
  <rv s="2">
    <fb>621.5</fb>
    <v>17</v>
  </rv>
  <rv s="2">
    <fb>617.26</fb>
    <v>17</v>
  </rv>
  <rv s="2">
    <fb>620.6</fb>
    <v>17</v>
  </rv>
  <rv s="2">
    <fb>625.74</fb>
    <v>17</v>
  </rv>
  <rv s="2">
    <fb>630.48</fb>
    <v>17</v>
  </rv>
  <rv s="2">
    <fb>632.67999999999995</fb>
    <v>17</v>
  </rv>
  <rv s="2">
    <fb>634.22</fb>
    <v>17</v>
  </rv>
  <rv s="2">
    <fb>633.05999999999995</fb>
    <v>17</v>
  </rv>
  <rv s="2">
    <fb>634.88</fb>
    <v>17</v>
  </rv>
  <rv s="2">
    <fb>636.1</fb>
    <v>17</v>
  </rv>
  <rv s="2">
    <fb>631.82000000000005</fb>
    <v>17</v>
  </rv>
  <rv s="2">
    <fb>635.22</fb>
    <v>17</v>
  </rv>
  <rv s="2">
    <fb>625.28</fb>
    <v>17</v>
  </rv>
  <rv s="2">
    <fb>621.16</fb>
    <v>17</v>
  </rv>
  <rv s="3">
    <v>https://www.bing.com/financeapi/forcetrigger?t=a1yv52&amp;q=XNAS%3aNVDA&amp;form=skydnc</v>
    <v>Learn more on Bing</v>
  </rv>
  <rv s="4">
    <v>7</v>
    <v>8</v>
    <v>NVIDIA CORPORATION (XNAS:NVDA)</v>
    <v>9</v>
    <v>10</v>
    <v>Finance</v>
    <v>11</v>
    <v>fr-FR</v>
    <v>a1yv52</v>
    <v>268435456</v>
    <v>1</v>
    <v>Avec Refinitiv</v>
    <v>XNAS</v>
    <v>24300000000</v>
    <v>1998</v>
    <v>178.91</v>
    <v>86.62</v>
    <v>2.2841</v>
    <v>4572045000000</v>
    <v>Nasdaq Stock Market</v>
    <v>2.0499999999999998</v>
    <v>1.0895999999999999E-2</v>
    <v>188.08</v>
    <v>NVDA</v>
    <v>45968.885416666664</v>
    <v>NVIDIA Corporation est une société d'infrastructure informatique full stack. La société est engagée dans l'informatique accélérée pour aider à résoudre les problèmes informatiques difficiles. Les segments de la société comprennent le calcul et la mise en réseau et les graphiques. Le segment informatique et réseautage comprend ses plateformes informatiques accélérées de centre de données et ses solutions et logiciels d'intelligence artificielle (IA) ; la mise en réseau ; les plateformes automobiles et les solutions de véhicules autonomes et électriques ; Jetson pour la robotique et autres plateformes embarquées ; et les services de cloud computing DGX. Le segment graphique comprend les GPU GeForce pour les jeux et les PC, le service de streaming de jeux GeForce NOW et l'infrastructure connexe, ainsi que des solutions pour les plates-formes de jeux ; les GPU Quadro/NVIDIA RTX pour les graphismes des stations de travail d'entreprise ; le logiciel GPU virtuel pour l'informatique visuelle et virtuelle basée sur le cloud ; les plates-formes automobiles pour les systèmes d'infodivertissement et le logiciel Omniverse Enterprise pour la construction et l'exploitation d'applications industrielles</v>
    <v>USD</v>
    <v>36000</v>
    <v>XNAS</v>
    <v>188.32</v>
    <v>212.18989999999999</v>
    <v>Semiconductors &amp; Semiconductor Equipment</v>
    <v>1224</v>
    <v>3.7220000000000005E-4</v>
    <v>7.0000000000000007E-2</v>
    <v>NVIDIA CORPORATION</v>
    <v>NVIDIA CORPORATION</v>
    <v>184.9</v>
    <v>53.530500000000004</v>
    <v>188.15</v>
    <v>190.2</v>
    <v>2788 San Tomas Expressway, SANTA CLARA, CA, 95051 US</v>
    <v>Bourse</v>
    <v>NVIDIA CORPORATION (XNAS:NVDA)</v>
    <v>264942255</v>
    <v>179357329</v>
  </rv>
  <rv s="1">
    <v>1225</v>
  </rv>
  <rv s="2">
    <fb>145.26</fb>
    <v>12</v>
  </rv>
  <rv s="2">
    <fb>148.29</fb>
    <v>12</v>
  </rv>
  <rv s="2">
    <fb>146.27000000000001</fb>
    <v>12</v>
  </rv>
  <rv s="2">
    <fb>146.76</fb>
    <v>12</v>
  </rv>
  <rv s="2">
    <fb>141.97999999999999</fb>
    <v>12</v>
  </rv>
  <rv s="2">
    <fb>140.15</fb>
    <v>12</v>
  </rv>
  <rv s="2">
    <fb>147.01</fb>
    <v>12</v>
  </rv>
  <rv s="2">
    <fb>145.88999999999999</fb>
    <v>12</v>
  </rv>
  <rv s="2">
    <fb>146.66999999999999</fb>
    <v>12</v>
  </rv>
  <rv s="2">
    <fb>141.94999999999999</fb>
    <v>12</v>
  </rv>
  <rv s="2">
    <fb>136.02000000000001</fb>
    <v>12</v>
  </rv>
  <rv s="2">
    <fb>136.91999999999999</fb>
    <v>12</v>
  </rv>
  <rv s="2">
    <fb>135.34</fb>
    <v>12</v>
  </rv>
  <rv s="2">
    <fb>138.25</fb>
    <v>12</v>
  </rv>
  <rv s="2">
    <fb>138.63</fb>
    <v>12</v>
  </rv>
  <rv s="2">
    <fb>140.26</fb>
    <v>12</v>
  </rv>
  <rv s="2">
    <fb>145.13999999999999</fb>
    <v>12</v>
  </rv>
  <rv s="2">
    <fb>145.06</fb>
    <v>12</v>
  </rv>
  <rv s="2">
    <fb>142.44</fb>
    <v>12</v>
  </rv>
  <rv s="2">
    <fb>138.81</fb>
    <v>12</v>
  </rv>
  <rv s="2">
    <fb>135.07</fb>
    <v>12</v>
  </rv>
  <rv s="2">
    <fb>139.31</fb>
    <v>12</v>
  </rv>
  <rv s="2">
    <fb>137.34</fb>
    <v>12</v>
  </rv>
  <rv s="2">
    <fb>134.25</fb>
    <v>12</v>
  </rv>
  <rv s="2">
    <fb>132</fb>
    <v>12</v>
  </rv>
  <rv s="2">
    <fb>130.38999999999999</fb>
    <v>12</v>
  </rv>
  <rv s="2">
    <fb>128.91</fb>
    <v>12</v>
  </rv>
  <rv s="2">
    <fb>130.68</fb>
    <v>12</v>
  </rv>
  <rv s="2">
    <fb>134.69999999999999</fb>
    <v>12</v>
  </rv>
  <rv s="2">
    <fb>139.66999999999999</fb>
    <v>12</v>
  </rv>
  <rv s="2">
    <fb>140.22</fb>
    <v>12</v>
  </rv>
  <rv s="2">
    <fb>139.93</fb>
    <v>12</v>
  </rv>
  <rv s="2">
    <fb>137.01</fb>
    <v>12</v>
  </rv>
  <rv s="2">
    <fb>137.49</fb>
    <v>12</v>
  </rv>
  <rv s="2">
    <fb>134.29</fb>
    <v>12</v>
  </rv>
  <rv s="2">
    <fb>138.31</fb>
    <v>12</v>
  </rv>
  <rv s="2">
    <fb>144.47</fb>
    <v>12</v>
  </rv>
  <rv s="2">
    <fb>149.43</fb>
    <v>12</v>
  </rv>
  <rv s="2">
    <fb>140.13999999999999</fb>
    <v>12</v>
  </rv>
  <rv s="2">
    <fb>140.11000000000001</fb>
    <v>12</v>
  </rv>
  <rv s="2">
    <fb>135.91</fb>
    <v>12</v>
  </rv>
  <rv s="2">
    <fb>133.22999999999999</fb>
    <v>12</v>
  </rv>
  <rv s="2">
    <fb>131.76</fb>
    <v>12</v>
  </rv>
  <rv s="2">
    <fb>136.24</fb>
    <v>12</v>
  </rv>
  <rv s="2">
    <fb>133.57</fb>
    <v>12</v>
  </rv>
  <rv s="2">
    <fb>137.71</fb>
    <v>12</v>
  </rv>
  <rv s="2">
    <fb>140.83000000000001</fb>
    <v>12</v>
  </rv>
  <rv s="2">
    <fb>147.07</fb>
    <v>12</v>
  </rv>
  <rv s="2">
    <fb>147.22</fb>
    <v>12</v>
  </rv>
  <rv s="2">
    <fb>142.62</fb>
    <v>12</v>
  </rv>
  <rv s="2">
    <fb>118.42</fb>
    <v>12</v>
  </rv>
  <rv s="2">
    <fb>128.99</fb>
    <v>12</v>
  </rv>
  <rv s="2">
    <fb>123.7</fb>
    <v>12</v>
  </rv>
  <rv s="2">
    <fb>124.65</fb>
    <v>12</v>
  </rv>
  <rv s="2">
    <fb>120.07</fb>
    <v>12</v>
  </rv>
  <rv s="2">
    <fb>116.66</fb>
    <v>12</v>
  </rv>
  <rv s="2">
    <fb>118.65</fb>
    <v>12</v>
  </rv>
  <rv s="2">
    <fb>124.83</fb>
    <v>12</v>
  </rv>
  <rv s="2">
    <fb>128.68</fb>
    <v>12</v>
  </rv>
  <rv s="2">
    <fb>129.84</fb>
    <v>12</v>
  </rv>
  <rv s="2">
    <fb>132.80000000000001</fb>
    <v>12</v>
  </rv>
  <rv s="2">
    <fb>131.13999999999999</fb>
    <v>12</v>
  </rv>
  <rv s="2">
    <fb>135.29</fb>
    <v>12</v>
  </rv>
  <rv s="2">
    <fb>138.85</fb>
    <v>12</v>
  </rv>
  <rv s="2">
    <fb>139.4</fb>
    <v>12</v>
  </rv>
  <rv s="2">
    <fb>139.22999999999999</fb>
    <v>12</v>
  </rv>
  <rv s="2">
    <fb>134.43</fb>
    <v>12</v>
  </rv>
  <rv s="2">
    <fb>130.28</fb>
    <v>12</v>
  </rv>
  <rv s="2">
    <fb>126.63</fb>
    <v>12</v>
  </rv>
  <rv s="2">
    <fb>131.28</fb>
    <v>12</v>
  </rv>
  <rv s="2">
    <fb>120.15</fb>
    <v>12</v>
  </rv>
  <rv s="2">
    <fb>124.92</fb>
    <v>12</v>
  </rv>
  <rv s="2">
    <fb>114.06</fb>
    <v>12</v>
  </rv>
  <rv s="2">
    <fb>115.99</fb>
    <v>12</v>
  </rv>
  <rv s="2">
    <fb>117.3</fb>
    <v>12</v>
  </rv>
  <rv s="2">
    <fb>110.57</fb>
    <v>12</v>
  </rv>
  <rv s="2">
    <fb>112.69</fb>
    <v>12</v>
  </rv>
  <rv s="2">
    <fb>106.98</fb>
    <v>12</v>
  </rv>
  <rv s="2">
    <fb>108.76</fb>
    <v>12</v>
  </rv>
  <rv s="2">
    <fb>115.74</fb>
    <v>12</v>
  </rv>
  <rv s="2">
    <fb>115.58</fb>
    <v>12</v>
  </rv>
  <rv s="2">
    <fb>121.67</fb>
    <v>12</v>
  </rv>
  <rv s="2">
    <fb>119.53</fb>
    <v>12</v>
  </rv>
  <rv s="2">
    <fb>115.43</fb>
    <v>12</v>
  </rv>
  <rv s="2">
    <fb>117.52</fb>
    <v>12</v>
  </rv>
  <rv s="2">
    <fb>118.53</fb>
    <v>12</v>
  </rv>
  <rv s="2">
    <fb>117.7</fb>
    <v>12</v>
  </rv>
  <rv s="2">
    <fb>121.41</fb>
    <v>12</v>
  </rv>
  <rv s="2">
    <fb>120.69</fb>
    <v>12</v>
  </rv>
  <rv s="2">
    <fb>113.76</fb>
    <v>12</v>
  </rv>
  <rv s="2">
    <fb>111.43</fb>
    <v>12</v>
  </rv>
  <rv s="2">
    <fb>109.67</fb>
    <v>12</v>
  </rv>
  <rv s="2">
    <fb>108.38</fb>
    <v>12</v>
  </rv>
  <rv s="2">
    <fb>110.15</fb>
    <v>12</v>
  </rv>
  <rv s="2">
    <fb>110.42</fb>
    <v>12</v>
  </rv>
  <rv s="2">
    <fb>101.8</fb>
    <v>12</v>
  </rv>
  <rv s="2">
    <fb>94.31</fb>
    <v>12</v>
  </rv>
  <rv s="2">
    <fb>97.64</fb>
    <v>12</v>
  </rv>
  <rv s="2">
    <fb>96.3</fb>
    <v>12</v>
  </rv>
  <rv s="2">
    <fb>114.33</fb>
    <v>12</v>
  </rv>
  <rv s="2">
    <fb>107.57</fb>
    <v>12</v>
  </rv>
  <rv s="2">
    <fb>110.93</fb>
    <v>12</v>
  </rv>
  <rv s="2">
    <fb>110.71</fb>
    <v>12</v>
  </rv>
  <rv s="2">
    <fb>112.2</fb>
    <v>12</v>
  </rv>
  <rv s="2">
    <fb>104.49</fb>
    <v>12</v>
  </rv>
  <rv s="2">
    <fb>101.49</fb>
    <v>12</v>
  </rv>
  <rv s="2">
    <fb>96.91</fb>
    <v>12</v>
  </rv>
  <rv s="2">
    <fb>98.89</fb>
    <v>12</v>
  </rv>
  <rv s="2">
    <fb>102.71</fb>
    <v>12</v>
  </rv>
  <rv s="2">
    <fb>106.43</fb>
    <v>12</v>
  </rv>
  <rv s="2">
    <fb>111.01</fb>
    <v>12</v>
  </rv>
  <rv s="2">
    <fb>108.73</fb>
    <v>12</v>
  </rv>
  <rv s="2">
    <fb>109.02</fb>
    <v>12</v>
  </rv>
  <rv s="2">
    <fb>108.92</fb>
    <v>12</v>
  </rv>
  <rv s="2">
    <fb>111.61</fb>
    <v>12</v>
  </rv>
  <rv s="2">
    <fb>114.5</fb>
    <v>12</v>
  </rv>
  <rv s="2">
    <fb>113.82</fb>
    <v>12</v>
  </rv>
  <rv s="2">
    <fb>113.54</fb>
    <v>12</v>
  </rv>
  <rv s="2">
    <fb>117.06</fb>
    <v>12</v>
  </rv>
  <rv s="2">
    <fb>117.37</fb>
    <v>12</v>
  </rv>
  <rv s="2">
    <fb>116.65</fb>
    <v>12</v>
  </rv>
  <rv s="2">
    <fb>123</fb>
    <v>12</v>
  </rv>
  <rv s="2">
    <fb>129.93</fb>
    <v>12</v>
  </rv>
  <rv s="2">
    <fb>134.83000000000001</fb>
    <v>12</v>
  </rv>
  <rv s="2">
    <fb>135.4</fb>
    <v>12</v>
  </rv>
  <rv s="2">
    <fb>135.57</fb>
    <v>12</v>
  </rv>
  <rv s="2">
    <fb>134.38</fb>
    <v>12</v>
  </rv>
  <rv s="2">
    <fb>131.80000000000001</fb>
    <v>12</v>
  </rv>
  <rv s="2">
    <fb>132.83000000000001</fb>
    <v>12</v>
  </rv>
  <rv s="2">
    <fb>131.29</fb>
    <v>12</v>
  </rv>
  <rv s="2">
    <fb>135.5</fb>
    <v>12</v>
  </rv>
  <rv s="2">
    <fb>134.81</fb>
    <v>12</v>
  </rv>
  <rv s="2">
    <fb>139.19</fb>
    <v>12</v>
  </rv>
  <rv s="2">
    <fb>135.13</fb>
    <v>12</v>
  </rv>
  <rv s="2">
    <fb>137.38</fb>
    <v>12</v>
  </rv>
  <rv s="2">
    <fb>141.22</fb>
    <v>12</v>
  </rv>
  <rv s="2">
    <fb>141.91999999999999</fb>
    <v>12</v>
  </rv>
  <rv s="2">
    <fb>139.99</fb>
    <v>12</v>
  </rv>
  <rv s="2">
    <fb>141.72</fb>
    <v>12</v>
  </rv>
  <rv s="2">
    <fb>142.63</fb>
    <v>12</v>
  </rv>
  <rv s="2">
    <fb>143.96</fb>
    <v>12</v>
  </rv>
  <rv s="2">
    <fb>142.83000000000001</fb>
    <v>12</v>
  </rv>
  <rv s="2">
    <fb>145</fb>
    <v>12</v>
  </rv>
  <rv s="2">
    <fb>141.97</fb>
    <v>12</v>
  </rv>
  <rv s="2">
    <fb>144.69</fb>
    <v>12</v>
  </rv>
  <rv s="2">
    <fb>144.12</fb>
    <v>12</v>
  </rv>
  <rv s="2">
    <fb>145.47999999999999</fb>
    <v>12</v>
  </rv>
  <rv s="2">
    <fb>143.85</fb>
    <v>12</v>
  </rv>
  <rv s="2">
    <fb>144.16999999999999</fb>
    <v>12</v>
  </rv>
  <rv s="2">
    <fb>147.9</fb>
    <v>12</v>
  </rv>
  <rv s="2">
    <fb>154.31</fb>
    <v>12</v>
  </rv>
  <rv s="2">
    <fb>155.02000000000001</fb>
    <v>12</v>
  </rv>
  <rv s="2">
    <fb>157.75</fb>
    <v>12</v>
  </rv>
  <rv s="2">
    <fb>157.99</fb>
    <v>12</v>
  </rv>
  <rv s="2">
    <fb>153.30000000000001</fb>
    <v>12</v>
  </rv>
  <rv s="2">
    <fb>157.25</fb>
    <v>12</v>
  </rv>
  <rv s="2">
    <fb>159.34</fb>
    <v>12</v>
  </rv>
  <rv s="2">
    <fb>158.24</fb>
    <v>12</v>
  </rv>
  <rv s="2">
    <fb>160</fb>
    <v>12</v>
  </rv>
  <rv s="2">
    <fb>162.88</fb>
    <v>12</v>
  </rv>
  <rv s="2">
    <fb>164.1</fb>
    <v>12</v>
  </rv>
  <rv s="2">
    <fb>164.92</fb>
    <v>12</v>
  </rv>
  <rv s="2">
    <fb>164.07</fb>
    <v>12</v>
  </rv>
  <rv s="2">
    <fb>170.7</fb>
    <v>12</v>
  </rv>
  <rv s="2">
    <fb>171.37</fb>
    <v>12</v>
  </rv>
  <rv s="2">
    <fb>173</fb>
    <v>12</v>
  </rv>
  <rv s="2">
    <fb>172.41</fb>
    <v>12</v>
  </rv>
  <rv s="2">
    <fb>171.38</fb>
    <v>12</v>
  </rv>
  <rv s="2">
    <fb>167.03</fb>
    <v>12</v>
  </rv>
  <rv s="2">
    <fb>170.78</fb>
    <v>12</v>
  </rv>
  <rv s="2">
    <fb>173.74</fb>
    <v>12</v>
  </rv>
  <rv s="2">
    <fb>173.5</fb>
    <v>12</v>
  </rv>
  <rv s="2">
    <fb>176.75</fb>
    <v>12</v>
  </rv>
  <rv s="2">
    <fb>175.51</fb>
    <v>12</v>
  </rv>
  <rv s="2">
    <fb>179.27</fb>
    <v>12</v>
  </rv>
  <rv s="2">
    <fb>177.87</fb>
    <v>12</v>
  </rv>
  <rv s="2">
    <fb>173.72</fb>
    <v>12</v>
  </rv>
  <rv s="2">
    <fb>180</fb>
    <v>12</v>
  </rv>
  <rv s="2">
    <fb>178.26</fb>
    <v>12</v>
  </rv>
  <rv s="2">
    <fb>179.42</fb>
    <v>12</v>
  </rv>
  <rv s="2">
    <fb>180.77</fb>
    <v>12</v>
  </rv>
  <rv s="2">
    <fb>182.7</fb>
    <v>12</v>
  </rv>
  <rv s="2">
    <fb>182.06</fb>
    <v>12</v>
  </rv>
  <rv s="2">
    <fb>183.16</fb>
    <v>12</v>
  </rv>
  <rv s="2">
    <fb>181.59</fb>
    <v>12</v>
  </rv>
  <rv s="2">
    <fb>182.02</fb>
    <v>12</v>
  </rv>
  <rv s="2">
    <fb>180.45</fb>
    <v>12</v>
  </rv>
  <rv s="2">
    <fb>182.01</fb>
    <v>12</v>
  </rv>
  <rv s="2">
    <fb>175.64</fb>
    <v>12</v>
  </rv>
  <rv s="2">
    <fb>175.4</fb>
    <v>12</v>
  </rv>
  <rv s="2">
    <fb>174.98</fb>
    <v>12</v>
  </rv>
  <rv s="2">
    <fb>177.99</fb>
    <v>12</v>
  </rv>
  <rv s="2">
    <fb>179.81</fb>
    <v>12</v>
  </rv>
  <rv s="2">
    <fb>181.77</fb>
    <v>12</v>
  </rv>
  <rv s="2">
    <fb>181.6</fb>
    <v>12</v>
  </rv>
  <rv s="2">
    <fb>180.17</fb>
    <v>12</v>
  </rv>
  <rv s="2">
    <fb>174.18</fb>
    <v>12</v>
  </rv>
  <rv s="2">
    <fb>170.62</fb>
    <v>12</v>
  </rv>
  <rv s="2">
    <fb>171.66</fb>
    <v>12</v>
  </rv>
  <rv s="2">
    <fb>167.02</fb>
    <v>12</v>
  </rv>
  <rv s="2">
    <fb>168.31</fb>
    <v>12</v>
  </rv>
  <rv s="2">
    <fb>170.76</fb>
    <v>12</v>
  </rv>
  <rv s="2">
    <fb>177.33</fb>
    <v>12</v>
  </rv>
  <rv s="2">
    <fb>177.17</fb>
    <v>12</v>
  </rv>
  <rv s="2">
    <fb>177.82</fb>
    <v>12</v>
  </rv>
  <rv s="2">
    <fb>177.75</fb>
    <v>12</v>
  </rv>
  <rv s="2">
    <fb>174.88</fb>
    <v>12</v>
  </rv>
  <rv s="2">
    <fb>170.29</fb>
    <v>12</v>
  </rv>
  <rv s="2">
    <fb>176.24</fb>
    <v>12</v>
  </rv>
  <rv s="2">
    <fb>176.67</fb>
    <v>12</v>
  </rv>
  <rv s="2">
    <fb>183.61</fb>
    <v>12</v>
  </rv>
  <rv s="2">
    <fb>178.43</fb>
    <v>12</v>
  </rv>
  <rv s="2">
    <fb>176.97</fb>
    <v>12</v>
  </rv>
  <rv s="2">
    <fb>177.69</fb>
    <v>12</v>
  </rv>
  <rv s="2">
    <fb>178.19</fb>
    <v>12</v>
  </rv>
  <rv s="2">
    <fb>181.85</fb>
    <v>12</v>
  </rv>
  <rv s="2">
    <fb>186.58</fb>
    <v>12</v>
  </rv>
  <rv s="2">
    <fb>187.24</fb>
    <v>12</v>
  </rv>
  <rv s="2">
    <fb>188.89</fb>
    <v>12</v>
  </rv>
  <rv s="2">
    <fb>187.62</fb>
    <v>12</v>
  </rv>
  <rv s="2">
    <fb>185.54</fb>
    <v>12</v>
  </rv>
  <rv s="2">
    <fb>185.04</fb>
    <v>12</v>
  </rv>
  <rv s="2">
    <fb>189.11</fb>
    <v>12</v>
  </rv>
  <rv s="2">
    <fb>192.57</fb>
    <v>12</v>
  </rv>
  <rv s="2">
    <fb>188.32</fb>
    <v>12</v>
  </rv>
  <rv s="2">
    <fb>180.03</fb>
    <v>12</v>
  </rv>
  <rv s="2">
    <fb>179.83</fb>
    <v>12</v>
  </rv>
  <rv s="2">
    <fb>181.81</fb>
    <v>12</v>
  </rv>
  <rv s="2">
    <fb>183.22</fb>
    <v>12</v>
  </rv>
  <rv s="2">
    <fb>182.64</fb>
    <v>12</v>
  </rv>
  <rv s="2">
    <fb>181.16</fb>
    <v>12</v>
  </rv>
  <rv s="2">
    <fb>180.28</fb>
    <v>12</v>
  </rv>
  <rv s="2">
    <fb>182.16</fb>
    <v>12</v>
  </rv>
  <rv s="2">
    <fb>186.26</fb>
    <v>12</v>
  </rv>
  <rv s="2">
    <fb>191.49</fb>
    <v>12</v>
  </rv>
  <rv s="2">
    <fb>201.03</fb>
    <v>12</v>
  </rv>
  <rv s="2">
    <fb>207.04</fb>
    <v>12</v>
  </rv>
  <rv s="2">
    <fb>202.89</fb>
    <v>12</v>
  </rv>
  <rv s="2">
    <fb>202.49</fb>
    <v>12</v>
  </rv>
  <rv s="2">
    <fb>206.88</fb>
    <v>12</v>
  </rv>
  <rv s="2">
    <fb>198.69</fb>
    <v>12</v>
  </rv>
  <rv s="2">
    <fb>195.21</fb>
    <v>12</v>
  </rv>
  <rv s="2">
    <fb>188.08</fb>
    <v>12</v>
  </rv>
  <rv s="2">
    <fb>188.15</fb>
    <v>12</v>
  </rv>
  <rv s="3">
    <v>https://www.bing.com/financeapi/forcetrigger?t=a1zgm7&amp;q=XNAS%3aPANW&amp;form=skydnc</v>
    <v>Learn more on Bing</v>
  </rv>
  <rv s="4">
    <v>7</v>
    <v>8</v>
    <v>PALO ALTO NETWORKS, INC. (XNAS:PANW)</v>
    <v>9</v>
    <v>10</v>
    <v>Finance</v>
    <v>25</v>
    <v>fr-FR</v>
    <v>a1zgm7</v>
    <v>268435456</v>
    <v>1</v>
    <v>Avec Refinitiv</v>
    <v>XNAS</v>
    <v>676870900</v>
    <v>2005</v>
    <v>207.83</v>
    <v>144.14500000000001</v>
    <v>0.78290000000000004</v>
    <v>143689500000</v>
    <v>Nasdaq Stock Market</v>
    <v>0.82</v>
    <v>3.8629999999999997E-3</v>
    <v>211.37</v>
    <v>PANW</v>
    <v>45968.932210728904</v>
    <v>Palo Alto Networks, Inc. fournit des solutions de sécurité complètes basées sur l'intelligence artificielle (IA) sur le réseau, le cloud, les opérations de sécurité et l'IA. La société se concentre sur quatre domaines : la sécurité des réseaux, la sécurité dans le cloud, les opérations de sécurité et les renseignements sur les menaces et les services consultatifs (unité 42). Sa plate-forme de sécurité réseau comprend des pare-feu alimentés par ML, ai Runtime Security et un framework SASE (Secure Access Service Edge), qui comprend Prisma Access, Prisma SD-WAN et Prisma Access Browser pour sécuriser les employés distants et les succursales. Sa sécurité Cloud est assurée via Prisma Cloud, une plateforme Code to Cloud qui protège les applications, les données, les environnements GenAI et la pile native cloud tout au long du cycle de développement. Sa division Unit 42 fournit des services de consultation axés sur le renseignement, d'intervention en cas d'incident, de détection et d'intervention gérées, ainsi que des services de chasse aux menaces. ITS Prisma AIRS est une plateforme de sécurité IA qui sécurise les applications, les agents, les modèles et les données.</v>
    <v>USD</v>
    <v>16068</v>
    <v>XNAS</v>
    <v>212.63499999999999</v>
    <v>223.61</v>
    <v>Software &amp; IT Services</v>
    <v>1471</v>
    <v>4.3290000000000004E-3</v>
    <v>0.91500000000000004</v>
    <v>PALO ALTO NETWORKS, INC.</v>
    <v>PALO ALTO NETWORKS, INC.</v>
    <v>208.23</v>
    <v>132.19550000000001</v>
    <v>212.285</v>
    <v>213.10499999999999</v>
    <v>3000 Tannery Way, SANTA CLARA, CA, 95054 US</v>
    <v>Bourse</v>
    <v>PALO ALTO NETWORKS, INC. (XNAS:PANW)</v>
    <v>5046792</v>
    <v>4716400</v>
  </rv>
  <rv s="1">
    <v>1472</v>
  </rv>
  <rv s="2">
    <fb>199.05</fb>
    <v>12</v>
  </rv>
  <rv s="2">
    <fb>199.01</fb>
    <v>12</v>
  </rv>
  <rv s="2">
    <fb>201.18</fb>
    <v>12</v>
  </rv>
  <rv s="2">
    <fb>197.19499999999999</fb>
    <v>12</v>
  </rv>
  <rv s="2">
    <fb>193.5</fb>
    <v>12</v>
  </rv>
  <rv s="2">
    <fb>193.41499999999999</fb>
    <v>12</v>
  </rv>
  <rv s="2">
    <fb>194.03</fb>
    <v>12</v>
  </rv>
  <rv s="2">
    <fb>196.44499999999999</fb>
    <v>12</v>
  </rv>
  <rv s="2">
    <fb>198.85</fb>
    <v>12</v>
  </rv>
  <rv s="2">
    <fb>191.68</fb>
    <v>12</v>
  </rv>
  <rv s="2">
    <fb>193.19</fb>
    <v>12</v>
  </rv>
  <rv s="2">
    <fb>198.2</fb>
    <v>12</v>
  </rv>
  <rv s="2">
    <fb>192.185</fb>
    <v>12</v>
  </rv>
  <rv s="2">
    <fb>193.91</fb>
    <v>12</v>
  </rv>
  <rv s="2">
    <fb>195.08500000000001</fb>
    <v>12</v>
  </rv>
  <rv s="2">
    <fb>196.29499999999999</fb>
    <v>12</v>
  </rv>
  <rv s="2">
    <fb>202.29</fb>
    <v>12</v>
  </rv>
  <rv s="2">
    <fb>201.51499999999999</fb>
    <v>12</v>
  </rv>
  <rv s="2">
    <fb>202.95</fb>
    <v>12</v>
  </rv>
  <rv s="2">
    <fb>194.47</fb>
    <v>12</v>
  </rv>
  <rv s="2">
    <fb>194.88</fb>
    <v>12</v>
  </rv>
  <rv s="2">
    <fb>199.21</fb>
    <v>12</v>
  </rv>
  <rv s="2">
    <fb>200.10499999999999</fb>
    <v>12</v>
  </rv>
  <rv s="2">
    <fb>196.56</fb>
    <v>12</v>
  </rv>
  <rv s="2">
    <fb>202.5</fb>
    <v>12</v>
  </rv>
  <rv s="2">
    <fb>201.24</fb>
    <v>12</v>
  </rv>
  <rv s="2">
    <fb>188.76</fb>
    <v>12</v>
  </rv>
  <rv s="2">
    <fb>189.36</fb>
    <v>12</v>
  </rv>
  <rv s="2">
    <fb>186.78</fb>
    <v>12</v>
  </rv>
  <rv s="2">
    <fb>188.22</fb>
    <v>12</v>
  </rv>
  <rv s="2">
    <fb>189.51</fb>
    <v>12</v>
  </rv>
  <rv s="2">
    <fb>188.5</fb>
    <v>12</v>
  </rv>
  <rv s="2">
    <fb>186.18</fb>
    <v>12</v>
  </rv>
  <rv s="2">
    <fb>184.2</fb>
    <v>12</v>
  </rv>
  <rv s="2">
    <fb>181.96</fb>
    <v>12</v>
  </rv>
  <rv s="2">
    <fb>180.74</fb>
    <v>12</v>
  </rv>
  <rv s="2">
    <fb>183.25</fb>
    <v>12</v>
  </rv>
  <rv s="2">
    <fb>179.5</fb>
    <v>12</v>
  </rv>
  <rv s="2">
    <fb>172.83</fb>
    <v>12</v>
  </rv>
  <rv s="2">
    <fb>173.42</fb>
    <v>12</v>
  </rv>
  <rv s="2">
    <fb>167.82</fb>
    <v>12</v>
  </rv>
  <rv s="2">
    <fb>170.58</fb>
    <v>12</v>
  </rv>
  <rv s="2">
    <fb>174.19</fb>
    <v>12</v>
  </rv>
  <rv s="2">
    <fb>177.11</fb>
    <v>12</v>
  </rv>
  <rv s="2">
    <fb>183.51</fb>
    <v>12</v>
  </rv>
  <rv s="2">
    <fb>187.32</fb>
    <v>12</v>
  </rv>
  <rv s="2">
    <fb>189.3</fb>
    <v>12</v>
  </rv>
  <rv s="2">
    <fb>192.94</fb>
    <v>12</v>
  </rv>
  <rv s="2">
    <fb>185.42</fb>
    <v>12</v>
  </rv>
  <rv s="2">
    <fb>187.42</fb>
    <v>12</v>
  </rv>
  <rv s="2">
    <fb>182.79</fb>
    <v>12</v>
  </rv>
  <rv s="2">
    <fb>183.4</fb>
    <v>12</v>
  </rv>
  <rv s="2">
    <fb>186.85</fb>
    <v>12</v>
  </rv>
  <rv s="2">
    <fb>187.37</fb>
    <v>12</v>
  </rv>
  <rv s="2">
    <fb>193.94</fb>
    <v>12</v>
  </rv>
  <rv s="2">
    <fb>196.4</fb>
    <v>12</v>
  </rv>
  <rv s="2">
    <fb>195.49</fb>
    <v>12</v>
  </rv>
  <rv s="2">
    <fb>196.73</fb>
    <v>12</v>
  </rv>
  <rv s="2">
    <fb>201.88</fb>
    <v>12</v>
  </rv>
  <rv s="2">
    <fb>200.03</fb>
    <v>12</v>
  </rv>
  <rv s="2">
    <fb>208.28</fb>
    <v>12</v>
  </rv>
  <rv s="2">
    <fb>205.19</fb>
    <v>12</v>
  </rv>
  <rv s="2">
    <fb>198.81</fb>
    <v>12</v>
  </rv>
  <rv s="2">
    <fb>191.03</fb>
    <v>12</v>
  </rv>
  <rv s="2">
    <fb>190.39</fb>
    <v>12</v>
  </rv>
  <rv s="2">
    <fb>188.01</fb>
    <v>12</v>
  </rv>
  <rv s="2">
    <fb>189.55</fb>
    <v>12</v>
  </rv>
  <rv s="2">
    <fb>187.5</fb>
    <v>12</v>
  </rv>
  <rv s="2">
    <fb>190.43</fb>
    <v>12</v>
  </rv>
  <rv s="2">
    <fb>183.68</fb>
    <v>12</v>
  </rv>
  <rv s="2">
    <fb>184.38</fb>
    <v>12</v>
  </rv>
  <rv s="2">
    <fb>184.28</fb>
    <v>12</v>
  </rv>
  <rv s="2">
    <fb>179.33</fb>
    <v>12</v>
  </rv>
  <rv s="2">
    <fb>180.93</fb>
    <v>12</v>
  </rv>
  <rv s="2">
    <fb>173.83</fb>
    <v>12</v>
  </rv>
  <rv s="2">
    <fb>178.93</fb>
    <v>12</v>
  </rv>
  <rv s="2">
    <fb>179.48</fb>
    <v>12</v>
  </rv>
  <rv s="2">
    <fb>176.32</fb>
    <v>12</v>
  </rv>
  <rv s="2">
    <fb>182.34</fb>
    <v>12</v>
  </rv>
  <rv s="2">
    <fb>185</fb>
    <v>12</v>
  </rv>
  <rv s="2">
    <fb>183.1</fb>
    <v>12</v>
  </rv>
  <rv s="2">
    <fb>187.54</fb>
    <v>12</v>
  </rv>
  <rv s="2">
    <fb>184.01</fb>
    <v>12</v>
  </rv>
  <rv s="2">
    <fb>182.32</fb>
    <v>12</v>
  </rv>
  <rv s="2">
    <fb>184.79</fb>
    <v>12</v>
  </rv>
  <rv s="2">
    <fb>189.95</fb>
    <v>12</v>
  </rv>
  <rv s="2">
    <fb>184.96</fb>
    <v>12</v>
  </rv>
  <rv s="2">
    <fb>174.44</fb>
    <v>12</v>
  </rv>
  <rv s="2">
    <fb>172.76</fb>
    <v>12</v>
  </rv>
  <rv s="2">
    <fb>170.64</fb>
    <v>12</v>
  </rv>
  <rv s="2">
    <fb>171.31</fb>
    <v>12</v>
  </rv>
  <rv s="2">
    <fb>165.17</fb>
    <v>12</v>
  </rv>
  <rv s="2">
    <fb>153.57</fb>
    <v>12</v>
  </rv>
  <rv s="2">
    <fb>152.44</fb>
    <v>12</v>
  </rv>
  <rv s="2">
    <fb>152.53</fb>
    <v>12</v>
  </rv>
  <rv s="2">
    <fb>173.02</fb>
    <v>12</v>
  </rv>
  <rv s="2">
    <fb>168.27</fb>
    <v>12</v>
  </rv>
  <rv s="2">
    <fb>168.34</fb>
    <v>12</v>
  </rv>
  <rv s="2">
    <fb>169.98</fb>
    <v>12</v>
  </rv>
  <rv s="2">
    <fb>173.55</fb>
    <v>12</v>
  </rv>
  <rv s="2">
    <fb>169.76</fb>
    <v>12</v>
  </rv>
  <rv s="2">
    <fb>167.69</fb>
    <v>12</v>
  </rv>
  <rv s="2">
    <fb>160.05000000000001</fb>
    <v>12</v>
  </rv>
  <rv s="2">
    <fb>163.63</fb>
    <v>12</v>
  </rv>
  <rv s="2">
    <fb>168.32</fb>
    <v>12</v>
  </rv>
  <rv s="2">
    <fb>176.04</fb>
    <v>12</v>
  </rv>
  <rv s="2">
    <fb>178.98</fb>
    <v>12</v>
  </rv>
  <rv s="2">
    <fb>181.54</fb>
    <v>12</v>
  </rv>
  <rv s="2">
    <fb>186.65</fb>
    <v>12</v>
  </rv>
  <rv s="2">
    <fb>186.93</fb>
    <v>12</v>
  </rv>
  <rv s="2">
    <fb>186.27</fb>
    <v>12</v>
  </rv>
  <rv s="2">
    <fb>188.13</fb>
    <v>12</v>
  </rv>
  <rv s="2">
    <fb>188.69</fb>
    <v>12</v>
  </rv>
  <rv s="2">
    <fb>188.14</fb>
    <v>12</v>
  </rv>
  <rv s="2">
    <fb>188.53</fb>
    <v>12</v>
  </rv>
  <rv s="2">
    <fb>192</fb>
    <v>12</v>
  </rv>
  <rv s="2">
    <fb>190.9</fb>
    <v>12</v>
  </rv>
  <rv s="2">
    <fb>192.9</fb>
    <v>12</v>
  </rv>
  <rv s="2">
    <fb>192.98</fb>
    <v>12</v>
  </rv>
  <rv s="2">
    <fb>194.3</fb>
    <v>12</v>
  </rv>
  <rv s="2">
    <fb>194.48</fb>
    <v>12</v>
  </rv>
  <rv s="2">
    <fb>181.26</fb>
    <v>12</v>
  </rv>
  <rv s="2">
    <fb>186.14</fb>
    <v>12</v>
  </rv>
  <rv s="2">
    <fb>186.75</fb>
    <v>12</v>
  </rv>
  <rv s="2">
    <fb>187.46</fb>
    <v>12</v>
  </rv>
  <rv s="2">
    <fb>187.8</fb>
    <v>12</v>
  </rv>
  <rv s="2">
    <fb>185.82</fb>
    <v>12</v>
  </rv>
  <rv s="2">
    <fb>192.42</fb>
    <v>12</v>
  </rv>
  <rv s="2">
    <fb>194.86</fb>
    <v>12</v>
  </rv>
  <rv s="2">
    <fb>194.07</fb>
    <v>12</v>
  </rv>
  <rv s="2">
    <fb>197.11</fb>
    <v>12</v>
  </rv>
  <rv s="2">
    <fb>199.6</fb>
    <v>12</v>
  </rv>
  <rv s="2">
    <fb>196.33</fb>
    <v>12</v>
  </rv>
  <rv s="2">
    <fb>195.95</fb>
    <v>12</v>
  </rv>
  <rv s="2">
    <fb>194.39</fb>
    <v>12</v>
  </rv>
  <rv s="2">
    <fb>197.67</fb>
    <v>12</v>
  </rv>
  <rv s="2">
    <fb>196.27</fb>
    <v>12</v>
  </rv>
  <rv s="2">
    <fb>198.11</fb>
    <v>12</v>
  </rv>
  <rv s="2">
    <fb>202.05</fb>
    <v>12</v>
  </rv>
  <rv s="2">
    <fb>199.78</fb>
    <v>12</v>
  </rv>
  <rv s="2">
    <fb>199.24</fb>
    <v>12</v>
  </rv>
  <rv s="2">
    <fb>203.32</fb>
    <v>12</v>
  </rv>
  <rv s="2">
    <fb>201.69</fb>
    <v>12</v>
  </rv>
  <rv s="2">
    <fb>204.3</fb>
    <v>12</v>
  </rv>
  <rv s="2">
    <fb>202.34</fb>
    <v>12</v>
  </rv>
  <rv s="2">
    <fb>200.57</fb>
    <v>12</v>
  </rv>
  <rv s="2">
    <fb>204.64</fb>
    <v>12</v>
  </rv>
  <rv s="2">
    <fb>197.58</fb>
    <v>12</v>
  </rv>
  <rv s="2">
    <fb>196.97</fb>
    <v>12</v>
  </rv>
  <rv s="2">
    <fb>201.82</fb>
    <v>12</v>
  </rv>
  <rv s="2">
    <fb>201.42</fb>
    <v>12</v>
  </rv>
  <rv s="2">
    <fb>203.99</fb>
    <v>12</v>
  </rv>
  <rv s="2">
    <fb>206.06</fb>
    <v>12</v>
  </rv>
  <rv s="2">
    <fb>192.07</fb>
    <v>12</v>
  </rv>
  <rv s="2">
    <fb>190.72</fb>
    <v>12</v>
  </rv>
  <rv s="2">
    <fb>192.25</fb>
    <v>12</v>
  </rv>
  <rv s="2">
    <fb>192.59</fb>
    <v>12</v>
  </rv>
  <rv s="2">
    <fb>196.28</fb>
    <v>12</v>
  </rv>
  <rv s="2">
    <fb>195.78</fb>
    <v>12</v>
  </rv>
  <rv s="2">
    <fb>199.88</fb>
    <v>12</v>
  </rv>
  <rv s="2">
    <fb>199.22</fb>
    <v>12</v>
  </rv>
  <rv s="2">
    <fb>201.16</fb>
    <v>12</v>
  </rv>
  <rv s="2">
    <fb>203.27</fb>
    <v>12</v>
  </rv>
  <rv s="2">
    <fb>204.5</fb>
    <v>12</v>
  </rv>
  <rv s="2">
    <fb>193.84</fb>
    <v>12</v>
  </rv>
  <rv s="2">
    <fb>183.03</fb>
    <v>12</v>
  </rv>
  <rv s="2">
    <fb>173.6</fb>
    <v>12</v>
  </rv>
  <rv s="2">
    <fb>172.88</fb>
    <v>12</v>
  </rv>
  <rv s="2">
    <fb>169.09</fb>
    <v>12</v>
  </rv>
  <rv s="2">
    <fb>172.89</fb>
    <v>12</v>
  </rv>
  <rv s="2">
    <fb>168.1</fb>
    <v>12</v>
  </rv>
  <rv s="2">
    <fb>167.06</fb>
    <v>12</v>
  </rv>
  <rv s="2">
    <fb>168.17</fb>
    <v>12</v>
  </rv>
  <rv s="2">
    <fb>176.86</fb>
    <v>12</v>
  </rv>
  <rv s="2">
    <fb>177.09</fb>
    <v>12</v>
  </rv>
  <rv s="2">
    <fb>176.17</fb>
    <v>12</v>
  </rv>
  <rv s="2">
    <fb>181.56</fb>
    <v>12</v>
  </rv>
  <rv s="2">
    <fb>184.43</fb>
    <v>12</v>
  </rv>
  <rv s="2">
    <fb>183.32</fb>
    <v>12</v>
  </rv>
  <rv s="2">
    <fb>185.88</fb>
    <v>12</v>
  </rv>
  <rv s="2">
    <fb>184.55</fb>
    <v>12</v>
  </rv>
  <rv s="2">
    <fb>184.23</fb>
    <v>12</v>
  </rv>
  <rv s="2">
    <fb>187.61</fb>
    <v>12</v>
  </rv>
  <rv s="2">
    <fb>191.02</fb>
    <v>12</v>
  </rv>
  <rv s="2">
    <fb>190.52</fb>
    <v>12</v>
  </rv>
  <rv s="2">
    <fb>191.53</fb>
    <v>12</v>
  </rv>
  <rv s="2">
    <fb>192.35</fb>
    <v>12</v>
  </rv>
  <rv s="2">
    <fb>194.46</fb>
    <v>12</v>
  </rv>
  <rv s="2">
    <fb>197.38</fb>
    <v>12</v>
  </rv>
  <rv s="2">
    <fb>197.55</fb>
    <v>12</v>
  </rv>
  <rv s="2">
    <fb>197.33</fb>
    <v>12</v>
  </rv>
  <rv s="2">
    <fb>198.33</fb>
    <v>12</v>
  </rv>
  <rv s="2">
    <fb>196.29</fb>
    <v>12</v>
  </rv>
  <rv s="2">
    <fb>201.28</fb>
    <v>12</v>
  </rv>
  <rv s="2">
    <fb>201.34</fb>
    <v>12</v>
  </rv>
  <rv s="2">
    <fb>203.12</fb>
    <v>12</v>
  </rv>
  <rv s="2">
    <fb>205.68</fb>
    <v>12</v>
  </rv>
  <rv s="2">
    <fb>208.19</fb>
    <v>12</v>
  </rv>
  <rv s="2">
    <fb>208.18</fb>
    <v>12</v>
  </rv>
  <rv s="2">
    <fb>203.25</fb>
    <v>12</v>
  </rv>
  <rv s="2">
    <fb>202.21</fb>
    <v>12</v>
  </rv>
  <rv s="2">
    <fb>202.37</fb>
    <v>12</v>
  </rv>
  <rv s="2">
    <fb>203.96</fb>
    <v>12</v>
  </rv>
  <rv s="2">
    <fb>203.62</fb>
    <v>12</v>
  </rv>
  <rv s="2">
    <fb>206.8</fb>
    <v>12</v>
  </rv>
  <rv s="2">
    <fb>209.3</fb>
    <v>12</v>
  </rv>
  <rv s="2">
    <fb>207.19</fb>
    <v>12</v>
  </rv>
  <rv s="2">
    <fb>212.58</fb>
    <v>12</v>
  </rv>
  <rv s="2">
    <fb>211.04</fb>
    <v>12</v>
  </rv>
  <rv s="2">
    <fb>217.79</fb>
    <v>12</v>
  </rv>
  <rv s="2">
    <fb>215.17</fb>
    <v>12</v>
  </rv>
  <rv s="2">
    <fb>208.55</fb>
    <v>12</v>
  </rv>
  <rv s="2">
    <fb>213.28</fb>
    <v>12</v>
  </rv>
  <rv s="2">
    <fb>207.56</fb>
    <v>12</v>
  </rv>
  <rv s="2">
    <fb>206.7</fb>
    <v>12</v>
  </rv>
  <rv s="2">
    <fb>205.51</fb>
    <v>12</v>
  </rv>
  <rv s="2">
    <fb>211.82</fb>
    <v>12</v>
  </rv>
  <rv s="2">
    <fb>214.4</fb>
    <v>12</v>
  </rv>
  <rv s="2">
    <fb>212.42</fb>
    <v>12</v>
  </rv>
  <rv s="2">
    <fb>215.02</fb>
    <v>12</v>
  </rv>
  <rv s="2">
    <fb>217.11</fb>
    <v>12</v>
  </rv>
  <rv s="2">
    <fb>220.29</fb>
    <v>12</v>
  </rv>
  <rv s="2">
    <fb>221.38</fb>
    <v>12</v>
  </rv>
  <rv s="2">
    <fb>217.16</fb>
    <v>12</v>
  </rv>
  <rv s="2">
    <fb>218.27</fb>
    <v>12</v>
  </rv>
  <rv s="2">
    <fb>220.24</fb>
    <v>12</v>
  </rv>
  <rv s="2">
    <fb>219.23</fb>
    <v>12</v>
  </rv>
  <rv s="2">
    <fb>214.52</fb>
    <v>12</v>
  </rv>
  <rv s="2">
    <fb>213.18</fb>
    <v>12</v>
  </rv>
  <rv s="2">
    <fb>212.285</fb>
    <v>12</v>
  </rv>
  <rv s="3">
    <v>https://www.bing.com/financeapi/forcetrigger?t=a24mnm&amp;q=XNAS%3aTTWO&amp;form=skydnc</v>
    <v>Learn more on Bing</v>
  </rv>
  <rv s="4">
    <v>7</v>
    <v>8</v>
    <v>TAKE-TWO INTERACTIVE SOFTWARE, INC. (XNAS:TTWO)</v>
    <v>9</v>
    <v>10</v>
    <v>Finance</v>
    <v>25</v>
    <v>fr-FR</v>
    <v>a24mnm</v>
    <v>268435456</v>
    <v>1</v>
    <v>Avec Refinitiv</v>
    <v>XNAS</v>
    <v>184700000</v>
    <v>1993</v>
    <v>227.25</v>
    <v>176.68010000000001</v>
    <v>0.97250000000000003</v>
    <v>42850400000</v>
    <v>Nasdaq Stock Market</v>
    <v>1</v>
    <v>4.3099999999999996E-3</v>
    <v>252.4</v>
    <v>TTWO</v>
    <v>45968.91128895781</v>
    <v>Take-Two Interactive Software, Inc. est un développeur, éditeur et distributeur de divertissement interactif pour les consommateurs du monde entier. La Société développe et publie des produits principalement par l'intermédiaire de Rockstar Games, 2K et Zynga. Ses produits sont conçus pour les consoles de jeux, y compris, mais sans s'y limiter, Sony Computer Entertainment, Inc (Sony) PlayStation4 (PS4) et PlayStation5 (PS5), Microsoft Corporation (Microsoft) Xbox One (Xbox One) et Xbox Series XS (Xbox Series XS), Nintendo Switch (Switch), ainsi que les mobiles, y compris les smartphones et tablettes, et les ordinateurs personnels (PC). Elle fournit ses produits via la vente au détail physique, le téléchargement numérique, les plateformes en ligne et les services de streaming cloud. Elle vend des titres de logiciels à la fois numériquement et physiquement par le biais de relations directes avec des vitrines numériques et des partenaires de plate-forme, de grands clients de détail et des distributeurs tiers. Il vend également de la publicité dans un certain nombre de ses jeux, principalement dans mobile.</v>
    <v>USD</v>
    <v>12928</v>
    <v>XNAS</v>
    <v>243.56</v>
    <v>264.78500000000003</v>
    <v>Software &amp; IT Services</v>
    <v>1704</v>
    <v>-8.0823999999999993E-2</v>
    <v>-20.399999999999999</v>
    <v>TAKE-TWO INTERACTIVE SOFTWARE, INC.</v>
    <v>TAKE-TWO INTERACTIVE SOFTWARE, INC.</v>
    <v>232.03</v>
    <v>0</v>
    <v>232</v>
    <v>233</v>
    <v>110 West 44Th Street, NEW YORK, NY, 10036 US</v>
    <v>Bourse</v>
    <v>TAKE-TWO INTERACTIVE SOFTWARE, INC. (XNAS:TTWO)</v>
    <v>5792514</v>
    <v>1415535</v>
  </rv>
  <rv s="1">
    <v>1705</v>
  </rv>
  <rv s="2">
    <fb>179.39</fb>
    <v>12</v>
  </rv>
  <rv s="2">
    <fb>180.55</fb>
    <v>12</v>
  </rv>
  <rv s="2">
    <fb>181.87</fb>
    <v>12</v>
  </rv>
  <rv s="2">
    <fb>181.48</fb>
    <v>12</v>
  </rv>
  <rv s="2">
    <fb>177.62</fb>
    <v>12</v>
  </rv>
  <rv s="2">
    <fb>182.93</fb>
    <v>12</v>
  </rv>
  <rv s="2">
    <fb>186.01</fb>
    <v>12</v>
  </rv>
  <rv s="2">
    <fb>185.5</fb>
    <v>12</v>
  </rv>
  <rv s="2">
    <fb>187.85</fb>
    <v>12</v>
  </rv>
  <rv s="2">
    <fb>185.56</fb>
    <v>12</v>
  </rv>
  <rv s="2">
    <fb>188.38</fb>
    <v>12</v>
  </rv>
  <rv s="2">
    <fb>187.95</fb>
    <v>12</v>
  </rv>
  <rv s="2">
    <fb>188.06</fb>
    <v>12</v>
  </rv>
  <rv s="2">
    <fb>188.2</fb>
    <v>12</v>
  </rv>
  <rv s="2">
    <fb>190.03</fb>
    <v>12</v>
  </rv>
  <rv s="2">
    <fb>189.71</fb>
    <v>12</v>
  </rv>
  <rv s="2">
    <fb>187.9</fb>
    <v>12</v>
  </rv>
  <rv s="2">
    <fb>185.36</fb>
    <v>12</v>
  </rv>
  <rv s="2">
    <fb>190.46</fb>
    <v>12</v>
  </rv>
  <rv s="2">
    <fb>189.64</fb>
    <v>12</v>
  </rv>
  <rv s="2">
    <fb>185.48</fb>
    <v>12</v>
  </rv>
  <rv s="2">
    <fb>187.18</fb>
    <v>12</v>
  </rv>
  <rv s="2">
    <fb>185.93</fb>
    <v>12</v>
  </rv>
  <rv s="2">
    <fb>181.9</fb>
    <v>12</v>
  </rv>
  <rv s="2">
    <fb>181.38</fb>
    <v>12</v>
  </rv>
  <rv s="2">
    <fb>181.97</fb>
    <v>12</v>
  </rv>
  <rv s="2">
    <fb>185.39</fb>
    <v>12</v>
  </rv>
  <rv s="2">
    <fb>187.16</fb>
    <v>12</v>
  </rv>
  <rv s="2">
    <fb>186.43</fb>
    <v>12</v>
  </rv>
  <rv s="2">
    <fb>184.54</fb>
    <v>12</v>
  </rv>
  <rv s="2">
    <fb>184.08</fb>
    <v>12</v>
  </rv>
  <rv s="2">
    <fb>183.07</fb>
    <v>12</v>
  </rv>
  <rv s="2">
    <fb>188.75</fb>
    <v>12</v>
  </rv>
  <rv s="2">
    <fb>188.98</fb>
    <v>12</v>
  </rv>
  <rv s="2">
    <fb>181.75</fb>
    <v>12</v>
  </rv>
  <rv s="2">
    <fb>183.74</fb>
    <v>12</v>
  </rv>
  <rv s="2">
    <fb>178.61</fb>
    <v>12</v>
  </rv>
  <rv s="2">
    <fb>178.76</fb>
    <v>12</v>
  </rv>
  <rv s="2">
    <fb>181.32</fb>
    <v>12</v>
  </rv>
  <rv s="2">
    <fb>183.37</fb>
    <v>12</v>
  </rv>
  <rv s="2">
    <fb>186.41</fb>
    <v>12</v>
  </rv>
  <rv s="2">
    <fb>185.14</fb>
    <v>12</v>
  </rv>
  <rv s="2">
    <fb>187.99</fb>
    <v>12</v>
  </rv>
  <rv s="2">
    <fb>183.82</fb>
    <v>12</v>
  </rv>
  <rv s="2">
    <fb>185.49</fb>
    <v>12</v>
  </rv>
  <rv s="2">
    <fb>187.87</fb>
    <v>12</v>
  </rv>
  <rv s="2">
    <fb>187.14</fb>
    <v>12</v>
  </rv>
  <rv s="2">
    <fb>190.09</fb>
    <v>12</v>
  </rv>
  <rv s="2">
    <fb>191.23</fb>
    <v>12</v>
  </rv>
  <rv s="2">
    <fb>185.51</fb>
    <v>12</v>
  </rv>
  <rv s="2">
    <fb>186.07</fb>
    <v>12</v>
  </rv>
  <rv s="2">
    <fb>183.54</fb>
    <v>12</v>
  </rv>
  <rv s="2">
    <fb>184.92</fb>
    <v>12</v>
  </rv>
  <rv s="2">
    <fb>183.08</fb>
    <v>12</v>
  </rv>
  <rv s="2">
    <fb>208.77</fb>
    <v>12</v>
  </rv>
  <rv s="2">
    <fb>212.51</fb>
    <v>12</v>
  </rv>
  <rv s="2">
    <fb>209.94</fb>
    <v>12</v>
  </rv>
  <rv s="2">
    <fb>209.18</fb>
    <v>12</v>
  </rv>
  <rv s="2">
    <fb>210.09</fb>
    <v>12</v>
  </rv>
  <rv s="2">
    <fb>208.76</fb>
    <v>12</v>
  </rv>
  <rv s="2">
    <fb>216.38</fb>
    <v>12</v>
  </rv>
  <rv s="2">
    <fb>215.18</fb>
    <v>12</v>
  </rv>
  <rv s="2">
    <fb>215.24</fb>
    <v>12</v>
  </rv>
  <rv s="2">
    <fb>212.02</fb>
    <v>12</v>
  </rv>
  <rv s="2">
    <fb>209.11</fb>
    <v>12</v>
  </rv>
  <rv s="2">
    <fb>208.21</fb>
    <v>12</v>
  </rv>
  <rv s="2">
    <fb>211.98</fb>
    <v>12</v>
  </rv>
  <rv s="2">
    <fb>208.05</fb>
    <v>12</v>
  </rv>
  <rv s="2">
    <fb>214.81</fb>
    <v>12</v>
  </rv>
  <rv s="2">
    <fb>207.87</fb>
    <v>12</v>
  </rv>
  <rv s="2">
    <fb>204.33</fb>
    <v>12</v>
  </rv>
  <rv s="2">
    <fb>201.93</fb>
    <v>12</v>
  </rv>
  <rv s="2">
    <fb>205.33</fb>
    <v>12</v>
  </rv>
  <rv s="2">
    <fb>203.63</fb>
    <v>12</v>
  </rv>
  <rv s="2">
    <fb>204.57</fb>
    <v>12</v>
  </rv>
  <rv s="2">
    <fb>206.5</fb>
    <v>12</v>
  </rv>
  <rv s="2">
    <fb>204.32</fb>
    <v>12</v>
  </rv>
  <rv s="2">
    <fb>208.86</fb>
    <v>12</v>
  </rv>
  <rv s="2">
    <fb>209.63</fb>
    <v>12</v>
  </rv>
  <rv s="2">
    <fb>213.47</fb>
    <v>12</v>
  </rv>
  <rv s="2">
    <fb>213.51</fb>
    <v>12</v>
  </rv>
  <rv s="2">
    <fb>215.89</fb>
    <v>12</v>
  </rv>
  <rv s="2">
    <fb>214.29</fb>
    <v>12</v>
  </rv>
  <rv s="2">
    <fb>210.47</fb>
    <v>12</v>
  </rv>
  <rv s="2">
    <fb>207.25</fb>
    <v>12</v>
  </rv>
  <rv s="2">
    <fb>210.13</fb>
    <v>12</v>
  </rv>
  <rv s="2">
    <fb>211.1</fb>
    <v>12</v>
  </rv>
  <rv s="2">
    <fb>208.93</fb>
    <v>12</v>
  </rv>
  <rv s="2">
    <fb>194.58</fb>
    <v>12</v>
  </rv>
  <rv s="2">
    <fb>197.53</fb>
    <v>12</v>
  </rv>
  <rv s="2">
    <fb>196.25</fb>
    <v>12</v>
  </rv>
  <rv s="2">
    <fb>208.13</fb>
    <v>12</v>
  </rv>
  <rv s="2">
    <fb>204.41</fb>
    <v>12</v>
  </rv>
  <rv s="2">
    <fb>212.07</fb>
    <v>12</v>
  </rv>
  <rv s="2">
    <fb>212.95</fb>
    <v>12</v>
  </rv>
  <rv s="2">
    <fb>214.6</fb>
    <v>12</v>
  </rv>
  <rv s="2">
    <fb>211.4</fb>
    <v>12</v>
  </rv>
  <rv s="2">
    <fb>205.16</fb>
    <v>12</v>
  </rv>
  <rv s="2">
    <fb>209.97</fb>
    <v>12</v>
  </rv>
  <rv s="2">
    <fb>213.3</fb>
    <v>12</v>
  </rv>
  <rv s="2">
    <fb>225.38</fb>
    <v>12</v>
  </rv>
  <rv s="2">
    <fb>225.55</fb>
    <v>12</v>
  </rv>
  <rv s="2">
    <fb>233.32</fb>
    <v>12</v>
  </rv>
  <rv s="2">
    <fb>235.17</fb>
    <v>12</v>
  </rv>
  <rv s="2">
    <fb>219.5</fb>
    <v>12</v>
  </rv>
  <rv s="2">
    <fb>225.32</fb>
    <v>12</v>
  </rv>
  <rv s="2">
    <fb>231.84</fb>
    <v>12</v>
  </rv>
  <rv s="2">
    <fb>226.34</fb>
    <v>12</v>
  </rv>
  <rv s="2">
    <fb>225.45</fb>
    <v>12</v>
  </rv>
  <rv s="2">
    <fb>226.55</fb>
    <v>12</v>
  </rv>
  <rv s="2">
    <fb>226.25</fb>
    <v>12</v>
  </rv>
  <rv s="2">
    <fb>226.16</fb>
    <v>12</v>
  </rv>
  <rv s="2">
    <fb>229.5</fb>
    <v>12</v>
  </rv>
  <rv s="2">
    <fb>232.34</fb>
    <v>12</v>
  </rv>
  <rv s="2">
    <fb>226.74</fb>
    <v>12</v>
  </rv>
  <rv s="2">
    <fb>234.66</fb>
    <v>12</v>
  </rv>
  <rv s="2">
    <fb>237.5</fb>
    <v>12</v>
  </rv>
  <rv s="2">
    <fb>226.76</fb>
    <v>12</v>
  </rv>
  <rv s="2">
    <fb>226.01</fb>
    <v>12</v>
  </rv>
  <rv s="2">
    <fb>224.99</fb>
    <v>12</v>
  </rv>
  <rv s="2">
    <fb>226.27</fb>
    <v>12</v>
  </rv>
  <rv s="2">
    <fb>228.33</fb>
    <v>12</v>
  </rv>
  <rv s="2">
    <fb>225.39</fb>
    <v>12</v>
  </rv>
  <rv s="2">
    <fb>226.28</fb>
    <v>12</v>
  </rv>
  <rv s="2">
    <fb>227.6</fb>
    <v>12</v>
  </rv>
  <rv s="2">
    <fb>229.65</fb>
    <v>12</v>
  </rv>
  <rv s="2">
    <fb>229.18</fb>
    <v>12</v>
  </rv>
  <rv s="2">
    <fb>232.72</fb>
    <v>12</v>
  </rv>
  <rv s="2">
    <fb>233.5</fb>
    <v>12</v>
  </rv>
  <rv s="2">
    <fb>234.91</fb>
    <v>12</v>
  </rv>
  <rv s="2">
    <fb>234.74</fb>
    <v>12</v>
  </rv>
  <rv s="2">
    <fb>234.46</fb>
    <v>12</v>
  </rv>
  <rv s="2">
    <fb>230.23</fb>
    <v>12</v>
  </rv>
  <rv s="2">
    <fb>238.6</fb>
    <v>12</v>
  </rv>
  <rv s="2">
    <fb>237.52</fb>
    <v>12</v>
  </rv>
  <rv s="2">
    <fb>238.5</fb>
    <v>12</v>
  </rv>
  <rv s="2">
    <fb>238.37</fb>
    <v>12</v>
  </rv>
  <rv s="2">
    <fb>241.59</fb>
    <v>12</v>
  </rv>
  <rv s="2">
    <fb>243.05</fb>
    <v>12</v>
  </rv>
  <rv s="2">
    <fb>241.64</fb>
    <v>12</v>
  </rv>
  <rv s="2">
    <fb>239.33</fb>
    <v>12</v>
  </rv>
  <rv s="2">
    <fb>241.44</fb>
    <v>12</v>
  </rv>
  <rv s="2">
    <fb>242.85</fb>
    <v>12</v>
  </rv>
  <rv s="2">
    <fb>240.1</fb>
    <v>12</v>
  </rv>
  <rv s="2">
    <fb>239.51</fb>
    <v>12</v>
  </rv>
  <rv s="2">
    <fb>240.11</fb>
    <v>12</v>
  </rv>
  <rv s="2">
    <fb>242.53</fb>
    <v>12</v>
  </rv>
  <rv s="2">
    <fb>240.56</fb>
    <v>12</v>
  </rv>
  <rv s="2">
    <fb>242.23</fb>
    <v>12</v>
  </rv>
  <rv s="2">
    <fb>235.33</fb>
    <v>12</v>
  </rv>
  <rv s="2">
    <fb>233.92</fb>
    <v>12</v>
  </rv>
  <rv s="2">
    <fb>238.46</fb>
    <v>12</v>
  </rv>
  <rv s="2">
    <fb>237.7</fb>
    <v>12</v>
  </rv>
  <rv s="2">
    <fb>238.73</fb>
    <v>12</v>
  </rv>
  <rv s="2">
    <fb>231.18</fb>
    <v>12</v>
  </rv>
  <rv s="2">
    <fb>231.63</fb>
    <v>12</v>
  </rv>
  <rv s="2">
    <fb>231.07</fb>
    <v>12</v>
  </rv>
  <rv s="2">
    <fb>228.73</fb>
    <v>12</v>
  </rv>
  <rv s="2">
    <fb>225.75</fb>
    <v>12</v>
  </rv>
  <rv s="2">
    <fb>224.75</fb>
    <v>12</v>
  </rv>
  <rv s="2">
    <fb>226.1</fb>
    <v>12</v>
  </rv>
  <rv s="2">
    <fb>223.98</fb>
    <v>12</v>
  </rv>
  <rv s="2">
    <fb>222.73</fb>
    <v>12</v>
  </rv>
  <rv s="2">
    <fb>220.58</fb>
    <v>12</v>
  </rv>
  <rv s="2">
    <fb>225.92</fb>
    <v>12</v>
  </rv>
  <rv s="2">
    <fb>227.21</fb>
    <v>12</v>
  </rv>
  <rv s="2">
    <fb>226.49</fb>
    <v>12</v>
  </rv>
  <rv s="2">
    <fb>217.37</fb>
    <v>12</v>
  </rv>
  <rv s="2">
    <fb>222.67</fb>
    <v>12</v>
  </rv>
  <rv s="2">
    <fb>232.56</fb>
    <v>12</v>
  </rv>
  <rv s="2">
    <fb>236.14</fb>
    <v>12</v>
  </rv>
  <rv s="2">
    <fb>233.16</fb>
    <v>12</v>
  </rv>
  <rv s="2">
    <fb>232.18</fb>
    <v>12</v>
  </rv>
  <rv s="2">
    <fb>232.55</fb>
    <v>12</v>
  </rv>
  <rv s="2">
    <fb>228.36</fb>
    <v>12</v>
  </rv>
  <rv s="2">
    <fb>228.67</fb>
    <v>12</v>
  </rv>
  <rv s="2">
    <fb>227.87</fb>
    <v>12</v>
  </rv>
  <rv s="2">
    <fb>229.03</fb>
    <v>12</v>
  </rv>
  <rv s="2">
    <fb>231.83</fb>
    <v>12</v>
  </rv>
  <rv s="2">
    <fb>230.82</fb>
    <v>12</v>
  </rv>
  <rv s="2">
    <fb>232.03</fb>
    <v>12</v>
  </rv>
  <rv s="2">
    <fb>234.9</fb>
    <v>12</v>
  </rv>
  <rv s="2">
    <fb>233.27</fb>
    <v>12</v>
  </rv>
  <rv s="2">
    <fb>240.95</fb>
    <v>12</v>
  </rv>
  <rv s="2">
    <fb>238.86</fb>
    <v>12</v>
  </rv>
  <rv s="2">
    <fb>240.65</fb>
    <v>12</v>
  </rv>
  <rv s="2">
    <fb>239.68</fb>
    <v>12</v>
  </rv>
  <rv s="2">
    <fb>248.78</fb>
    <v>12</v>
  </rv>
  <rv s="2">
    <fb>247.86</fb>
    <v>12</v>
  </rv>
  <rv s="2">
    <fb>244.04</fb>
    <v>12</v>
  </rv>
  <rv s="2">
    <fb>246.54</fb>
    <v>12</v>
  </rv>
  <rv s="2">
    <fb>246.26</fb>
    <v>12</v>
  </rv>
  <rv s="2">
    <fb>247.25</fb>
    <v>12</v>
  </rv>
  <rv s="2">
    <fb>247.73</fb>
    <v>12</v>
  </rv>
  <rv s="2">
    <fb>250.52</fb>
    <v>12</v>
  </rv>
  <rv s="2">
    <fb>249.74</fb>
    <v>12</v>
  </rv>
  <rv s="2">
    <fb>250.85</fb>
    <v>12</v>
  </rv>
  <rv s="2">
    <fb>251.64</fb>
    <v>12</v>
  </rv>
  <rv s="2">
    <fb>251.28</fb>
    <v>12</v>
  </rv>
  <rv s="2">
    <fb>244.12</fb>
    <v>12</v>
  </rv>
  <rv s="2">
    <fb>245.11</fb>
    <v>12</v>
  </rv>
  <rv s="2">
    <fb>256.12</fb>
    <v>12</v>
  </rv>
  <rv s="2">
    <fb>259.95999999999998</fb>
    <v>12</v>
  </rv>
  <rv s="2">
    <fb>258.36</fb>
    <v>12</v>
  </rv>
  <rv s="2">
    <fb>255.4</fb>
    <v>12</v>
  </rv>
  <rv s="2">
    <fb>256.94</fb>
    <v>12</v>
  </rv>
  <rv s="2">
    <fb>257.68</fb>
    <v>12</v>
  </rv>
  <rv s="2">
    <fb>256.98</fb>
    <v>12</v>
  </rv>
  <rv s="2">
    <fb>260.5</fb>
    <v>12</v>
  </rv>
  <rv s="2">
    <fb>258.07</fb>
    <v>12</v>
  </rv>
  <rv s="2">
    <fb>256.69</fb>
    <v>12</v>
  </rv>
  <rv s="2">
    <fb>251.97</fb>
    <v>12</v>
  </rv>
  <rv s="2">
    <fb>256.68</fb>
    <v>12</v>
  </rv>
  <rv s="2">
    <fb>257.72000000000003</fb>
    <v>12</v>
  </rv>
  <rv s="2">
    <fb>261.5</fb>
    <v>12</v>
  </rv>
  <rv s="2">
    <fb>259.23</fb>
    <v>12</v>
  </rv>
  <rv s="2">
    <fb>261.35000000000002</fb>
    <v>12</v>
  </rv>
  <rv s="2">
    <fb>262.29000000000002</fb>
    <v>12</v>
  </rv>
  <rv s="2">
    <fb>260.27999999999997</fb>
    <v>12</v>
  </rv>
  <rv s="2">
    <fb>255.56</fb>
    <v>12</v>
  </rv>
  <rv s="2">
    <fb>254.53</fb>
    <v>12</v>
  </rv>
  <rv s="2">
    <fb>255.12</fb>
    <v>12</v>
  </rv>
  <rv s="2">
    <fb>254.27</fb>
    <v>12</v>
  </rv>
  <rv s="2">
    <fb>251.57</fb>
    <v>12</v>
  </rv>
  <rv s="2">
    <fb>251.73</fb>
    <v>12</v>
  </rv>
  <rv s="2">
    <fb>252.78</fb>
    <v>12</v>
  </rv>
  <rv s="2">
    <fb>256.37</fb>
    <v>12</v>
  </rv>
  <rv s="2">
    <fb>255.65</fb>
    <v>12</v>
  </rv>
  <rv s="2">
    <fb>252.43</fb>
    <v>12</v>
  </rv>
  <rv s="2">
    <fb>254.76</fb>
    <v>12</v>
  </rv>
  <rv s="2">
    <fb>252.4</fb>
    <v>12</v>
  </rv>
  <rv s="2">
    <fb>232</fb>
    <v>12</v>
  </rv>
  <rv s="3">
    <v>https://www.bing.com/financeapi/forcetrigger?t=bnstim&amp;q=XFRA%3a3CP&amp;form=skydnc</v>
    <v>Learn more on Bing</v>
  </rv>
  <rv s="5">
    <v>13</v>
    <v>14</v>
    <v>XIAOMI CORPORATION (XFRA:3CP)</v>
    <v>9</v>
    <v>26</v>
    <v>Finance</v>
    <v>16</v>
    <v>fr-FR</v>
    <v>bnstim</v>
    <v>268435456</v>
    <v>1</v>
    <v>Avec Refinitiv</v>
    <v>XFRA</v>
    <v>26069360000</v>
    <v>2010</v>
    <v>4.5999999999999996</v>
    <v>0.96619999999999995</v>
    <v>1.0365</v>
    <v>1101170000000</v>
    <v>Deutsche Boerse AG</v>
    <v>4.8395000000000001</v>
    <v>3CP</v>
    <v>45968.878472222219</v>
    <v>XIAOMI CORPORATION est une société d’investissement basée en Chine dont les activités principales sont la recherche, le développement et la vente de smartphones, l’Internet des objets (IdO) et les produits de style de vie, la fourniture de services Internet et les activités d’investissement. La Société exerce principalement ses activités dans quatre secteurs. Le segment Smartphone est engagé dans la vente de smartphones. Le segment des produits d’IdO et de mode de vie se consacre à la vente d’autres produits internes, notamment les téléviseurs intelligents (téléviseurs), les ordinateurs portables, les haut-parleurs à intelligence artificielle (IA) et les routeurs intelligents; des produits de l'écosystème y compris l'IdO et d'autres produits matériels intelligents, ainsi que certains produits de style de vie. Le secteur des services Internet fournit des services de publicité et des services Internet à valeur ajoutée. Le secteur Autres est engagé dans la fourniture de services de réparation pour ses produits matériels. La Société distribue ses produits sur le marché intérieur et sur les marchés étrangers.</v>
    <v>EUR</v>
    <v>46592</v>
    <v>XFRA</v>
    <v>4.7294999999999998</v>
    <v>7.3979999999999997</v>
    <v>Computers, Phones &amp; Household Electronics</v>
    <v>1939</v>
    <v>-2.9135000000000001E-2</v>
    <v>-0.14099999999999999</v>
    <v>XIAOMI CORPORATION</v>
    <v>XIAOMI CORPORATION</v>
    <v>4.7</v>
    <v>28.24</v>
    <v>4.6985000000000001</v>
    <v>Xiaomi Campus, Anningzhuang Road, Haidian District, BEIJING, BEIJING CN</v>
    <v>Bourse</v>
    <v>XIAOMI CORPORATION (XFRA:3CP)</v>
    <v>129985</v>
    <v>179737320</v>
  </rv>
  <rv s="1">
    <v>1940</v>
  </rv>
  <rv s="8">
    <v>27</v>
    <v>a1zgm7</v>
    <v>Daily</v>
    <v>45605</v>
    <v>45970</v>
    <v>0</v>
    <v>1</v>
    <v>638980704000000000,638983104165098755,0</v>
    <v>0</v>
    <v>a1zgm7</v>
    <v>XNAS:PANW</v>
    <v>1</v>
  </rv>
  <rv s="8">
    <v>28</v>
    <v>c2rtrw</v>
    <v>Daily</v>
    <v>45605</v>
    <v>45970</v>
    <v>0</v>
    <v>1</v>
    <v>638980704000000000,638983104164922797,0</v>
    <v>2</v>
    <v>c2rtrw</v>
    <v>XFRA:PPFB</v>
    <v>3</v>
  </rv>
  <rv s="8">
    <v>27</v>
    <v>a24mnm</v>
    <v>Daily</v>
    <v>45605</v>
    <v>45970</v>
    <v>0</v>
    <v>1</v>
    <v>638980704000000000,638983104165156169,0</v>
    <v>0</v>
    <v>a24mnm</v>
    <v>XNAS:TTWO</v>
    <v>4</v>
  </rv>
  <rv s="8">
    <v>28</v>
    <v>aflhlh</v>
    <v>Daily</v>
    <v>45605</v>
    <v>45970</v>
    <v>0</v>
    <v>1</v>
    <v>638980704000000000,638983104165018109,0</v>
    <v>2</v>
    <v>aflhlh</v>
    <v>XFRA:SXR8</v>
    <v>5</v>
  </rv>
  <rv s="8">
    <v>27</v>
    <v>a1yv52</v>
    <v>Daily</v>
    <v>45605</v>
    <v>45970</v>
    <v>0</v>
    <v>1</v>
    <v>638980704000000000,638983104164964020,0</v>
    <v>0</v>
    <v>a1yv52</v>
    <v>XNAS:NVDA</v>
    <v>6</v>
  </rv>
  <rv s="8">
    <v>28</v>
    <v>ae7w1h</v>
    <v>Daily</v>
    <v>45605</v>
    <v>45970</v>
    <v>0</v>
    <v>1</v>
    <v>638980704000000000,638983103980491001,0</v>
    <v>7</v>
    <v>ae7w1h</v>
    <v>XPAR:BNP</v>
    <v>8</v>
  </rv>
  <rv s="8">
    <v>27</v>
    <v>a1nhlh</v>
    <v>Daily</v>
    <v>45605</v>
    <v>45970</v>
    <v>0</v>
    <v>1</v>
    <v>638980704000000000,638983102991646855,0</v>
    <v>0</v>
    <v>a1nhlh</v>
    <v>XNAS:AMZN</v>
    <v>9</v>
  </rv>
</rvData>
</file>

<file path=xl/richData/rdrichvaluestructure.xml><?xml version="1.0" encoding="utf-8"?>
<rvStructures xmlns="http://schemas.microsoft.com/office/spreadsheetml/2017/richdata" count="9">
  <s t="_linkedentitycore">
    <k n="_CanonicalPropertyNames" t="spb"/>
    <k n="_Display" t="spb"/>
    <k n="_DisplayString" t="s"/>
    <k n="_Flags" t="spb"/>
    <k n="_Format" t="spb"/>
    <k n="_Icon" t="s"/>
    <k n="_SubLabel" t="spb"/>
    <k n="%EntityCulture" t="s"/>
    <k n="%EntityId" t="s"/>
    <k n="%EntityServiceId"/>
    <k n="%IsRefreshable" t="b"/>
    <k n="%ProviderInfo" t="s"/>
    <k n="Bas"/>
    <k n="Bas depuis 52 semaines"/>
    <k n="Clôture précédente"/>
    <k n="Code mnémonique" t="s"/>
    <k n="De la devise" t="s"/>
    <k n="Dernière heure d'échange"/>
    <k n="Devise" t="s"/>
    <k n="Haut"/>
    <k n="Haut depuis 52 semaines"/>
    <k n="Modification (%)"/>
    <k n="Modifier"/>
    <k n="Nom" t="s"/>
    <k n="Ouvrir"/>
    <k n="Prix"/>
    <k n="Type d'instrument" t="s"/>
    <k n="UniqueName" t="s"/>
  </s>
  <s t="_linkedentity">
    <k n="%cvi" t="r"/>
  </s>
  <s t="_formattednumber">
    <k n="_Format" t="spb"/>
  </s>
  <s t="_hyperlink">
    <k n="Address" t="s"/>
    <k n="Text" t="s"/>
  </s>
  <s t="_linkedentitycore">
    <k n="_CanonicalPropertyNames" t="spb"/>
    <k n="_Display" t="spb"/>
    <k n="_DisplayString" t="s"/>
    <k n="_Flags" t="spb"/>
    <k n="_Format" t="spb"/>
    <k n="_Icon" t="s"/>
    <k n="_SubLabel" t="spb"/>
    <k n="%EntityCulture" t="s"/>
    <k n="%EntityId" t="s"/>
    <k n="%EntityServiceId"/>
    <k n="%IsRefreshable" t="b"/>
    <k n="%ProviderInfo" t="s"/>
    <k n="Abréviation de change" t="s"/>
    <k n="Actions en circulation"/>
    <k n="Année de constitution"/>
    <k n="Bas"/>
    <k n="Bas depuis 52 semaines"/>
    <k n="Bêta"/>
    <k n="Capitalisation boursière"/>
    <k n="Change" t="s"/>
    <k n="Changement (horaires prolongés)"/>
    <k n="Changement en % (horaires prolongés)"/>
    <k n="Clôture précédente"/>
    <k n="Code mnémonique" t="s"/>
    <k n="Dernière heure d'échange"/>
    <k n="Description" t="s"/>
    <k n="Devise" t="s"/>
    <k n="Employés"/>
    <k n="ExchangeID" t="s"/>
    <k n="Haut"/>
    <k n="Haut depuis 52 semaines"/>
    <k n="Industrie" t="s"/>
    <k n="LearnMoreOnLink" t="r"/>
    <k n="Modification (%)"/>
    <k n="Modifier"/>
    <k n="Nom" t="s"/>
    <k n="Nom officiel" t="s"/>
    <k n="Ouvrir"/>
    <k n="P/E"/>
    <k n="Prix"/>
    <k n="Prix (horaires prolongés)"/>
    <k n="Sièges sociaux" t="s"/>
    <k n="Type d'instrument" t="s"/>
    <k n="UniqueName" t="s"/>
    <k n="Volume"/>
    <k n="Volume moyen"/>
  </s>
  <s t="_linkedentitycore">
    <k n="_CanonicalPropertyNames" t="spb"/>
    <k n="_Display" t="spb"/>
    <k n="_DisplayString" t="s"/>
    <k n="_Flags" t="spb"/>
    <k n="_Format" t="spb"/>
    <k n="_Icon" t="s"/>
    <k n="_SubLabel" t="spb"/>
    <k n="%EntityCulture" t="s"/>
    <k n="%EntityId" t="s"/>
    <k n="%EntityServiceId"/>
    <k n="%IsRefreshable" t="b"/>
    <k n="%ProviderInfo" t="s"/>
    <k n="Abréviation de change" t="s"/>
    <k n="Actions en circulation"/>
    <k n="Année de constitution"/>
    <k n="Bas"/>
    <k n="Bas depuis 52 semaines"/>
    <k n="Bêta"/>
    <k n="Capitalisation boursière"/>
    <k n="Change" t="s"/>
    <k n="Clôture précédente"/>
    <k n="Code mnémonique" t="s"/>
    <k n="Dernière heure d'échange"/>
    <k n="Description" t="s"/>
    <k n="Devise" t="s"/>
    <k n="Employés"/>
    <k n="ExchangeID" t="s"/>
    <k n="Haut"/>
    <k n="Haut depuis 52 semaines"/>
    <k n="Industrie" t="s"/>
    <k n="LearnMoreOnLink" t="r"/>
    <k n="Modification (%)"/>
    <k n="Modifier"/>
    <k n="Nom" t="s"/>
    <k n="Nom officiel" t="s"/>
    <k n="Ouvrir"/>
    <k n="P/E"/>
    <k n="Prix"/>
    <k n="Sièges sociaux" t="s"/>
    <k n="Type d'instrument" t="s"/>
    <k n="UniqueName" t="s"/>
    <k n="Volume"/>
    <k n="Volume moyen"/>
  </s>
  <s t="_linkedentitycore">
    <k n="_CanonicalPropertyNames" t="spb"/>
    <k n="_Display" t="spb"/>
    <k n="_DisplayString" t="s"/>
    <k n="_Flags" t="spb"/>
    <k n="_Format" t="spb"/>
    <k n="_Icon" t="s"/>
    <k n="_SubLabel" t="spb"/>
    <k n="%EntityCulture" t="s"/>
    <k n="%EntityId" t="s"/>
    <k n="%EntityServiceId"/>
    <k n="%IsRefreshable" t="b"/>
    <k n="%ProviderInfo" t="s"/>
    <k n="Abréviation de change" t="s"/>
    <k n="Bas"/>
    <k n="Change" t="s"/>
    <k n="Clôture précédente"/>
    <k n="Code mnémonique" t="s"/>
    <k n="Dernière heure d'échange"/>
    <k n="Devise" t="s"/>
    <k n="Haut"/>
    <k n="LearnMoreOnLink" t="r"/>
    <k n="Modification (%)"/>
    <k n="Modifier"/>
    <k n="Nom" t="s"/>
    <k n="Ouvrir"/>
    <k n="Prix"/>
    <k n="Type d'instrument" t="s"/>
    <k n="UniqueName" t="s"/>
    <k n="Volume"/>
  </s>
  <s t="_linkedentitycore">
    <k n="_CanonicalPropertyNames" t="spb"/>
    <k n="_Display" t="spb"/>
    <k n="_DisplayString" t="s"/>
    <k n="_Flags" t="spb"/>
    <k n="_Format" t="spb"/>
    <k n="_Icon" t="s"/>
    <k n="_SubLabel" t="spb"/>
    <k n="%EntityCulture" t="s"/>
    <k n="%EntityId" t="s"/>
    <k n="%EntityServiceId"/>
    <k n="%IsRefreshable" t="b"/>
    <k n="%ProviderInfo" t="s"/>
    <k n="Abréviation de change" t="s"/>
    <k n="Bas"/>
    <k n="Bas depuis 52 semaines"/>
    <k n="Capitalisation boursière"/>
    <k n="Change" t="s"/>
    <k n="Clôture précédente"/>
    <k n="Code mnémonique" t="s"/>
    <k n="Dernière heure d'échange"/>
    <k n="Devise" t="s"/>
    <k n="Haut"/>
    <k n="Haut depuis 52 semaines"/>
    <k n="LearnMoreOnLink" t="r"/>
    <k n="Modification (%)"/>
    <k n="Modifier"/>
    <k n="Nom" t="s"/>
    <k n="Ouvrir"/>
    <k n="Prix"/>
    <k n="Taux de dépenses"/>
    <k n="Type d'instrument" t="s"/>
    <k n="UniqueName" t="s"/>
    <k n="Volume"/>
  </s>
  <s t="_stockhistorycache">
    <k n="_Format" t="spb"/>
    <k n="Symbol" t="s"/>
    <k n="Interval" t="s"/>
    <k n="StartDate" t="i"/>
    <k n="EndDate" t="i"/>
    <k n="f1904" t="b"/>
    <k n="fdcompat" t="b"/>
    <k n="etag" t="s"/>
    <k n="Date" t="a"/>
    <k n="EntityId" t="s"/>
    <k n="Instrument" t="s"/>
    <k n="Close" t="a"/>
  </s>
</rvStructures>
</file>

<file path=xl/richData/rdsupportingpropertybag.xml><?xml version="1.0" encoding="utf-8"?>
<supportingPropertyBags xmlns="http://schemas.microsoft.com/office/spreadsheetml/2017/richdata2">
  <spbArrays count="5">
    <a count="28">
      <v t="s">%EntityServiceId</v>
      <v t="s">_Format</v>
      <v t="s">%IsRefreshable</v>
      <v t="s">_CanonicalPropertyNames</v>
      <v t="s">%EntityCulture</v>
      <v t="s">%EntityId</v>
      <v t="s">_Icon</v>
      <v t="s">_Display</v>
      <v t="s">Nom</v>
      <v t="s">Prix</v>
      <v t="s">_SubLabel</v>
      <v t="s">Dernière heure d'échange</v>
      <v t="s">Code mnémonique</v>
      <v t="s">Modifier</v>
      <v t="s">Modification (%)</v>
      <v t="s">Devise</v>
      <v t="s">De la devise</v>
      <v t="s">Clôture précédente</v>
      <v t="s">Ouvrir</v>
      <v t="s">Haut</v>
      <v t="s">Bas</v>
      <v t="s">Haut depuis 52 semaines</v>
      <v t="s">Bas depuis 52 semaines</v>
      <v t="s">Type d'instrument</v>
      <v t="s">_Flags</v>
      <v t="s">UniqueName</v>
      <v t="s">_DisplayString</v>
      <v t="s">%ProviderInfo</v>
    </a>
    <a count="46">
      <v t="s">%EntityServiceId</v>
      <v t="s">_Format</v>
      <v t="s">%IsRefreshable</v>
      <v t="s">_CanonicalPropertyNames</v>
      <v t="s">%EntityCulture</v>
      <v t="s">%EntityId</v>
      <v t="s">_Icon</v>
      <v t="s">_Display</v>
      <v t="s">Nom</v>
      <v t="s">_SubLabel</v>
      <v t="s">Prix</v>
      <v t="s">Prix (horaires prolongés)</v>
      <v t="s">Change</v>
      <v t="s">Nom officiel</v>
      <v t="s">Dernière heure d'échange</v>
      <v t="s">Code mnémonique</v>
      <v t="s">Abréviation de change</v>
      <v t="s">Modifier</v>
      <v t="s">Changement (horaires prolongés)</v>
      <v t="s">Modification (%)</v>
      <v t="s">Changement en % (horaires prolongés)</v>
      <v t="s">Devise</v>
      <v t="s">Clôture précédente</v>
      <v t="s">Ouvrir</v>
      <v t="s">Haut</v>
      <v t="s">Bas</v>
      <v t="s">Haut depuis 52 semaines</v>
      <v t="s">Bas depuis 52 semaines</v>
      <v t="s">Volume</v>
      <v t="s">Volume moyen</v>
      <v t="s">Capitalisation boursière</v>
      <v t="s">Bêta</v>
      <v t="s">P/E</v>
      <v t="s">Actions en circulation</v>
      <v t="s">Description</v>
      <v t="s">Employés</v>
      <v t="s">Sièges sociaux</v>
      <v t="s">Industrie</v>
      <v t="s">Type d'instrument</v>
      <v t="s">Année de constitution</v>
      <v t="s">_Flags</v>
      <v t="s">UniqueName</v>
      <v t="s">_DisplayString</v>
      <v t="s">LearnMoreOnLink</v>
      <v t="s">ExchangeID</v>
      <v t="s">%ProviderInfo</v>
    </a>
    <a count="43">
      <v t="s">%EntityServiceId</v>
      <v t="s">_Format</v>
      <v t="s">%IsRefreshable</v>
      <v t="s">_CanonicalPropertyNames</v>
      <v t="s">%EntityCulture</v>
      <v t="s">%EntityId</v>
      <v t="s">_Icon</v>
      <v t="s">_Display</v>
      <v t="s">Nom</v>
      <v t="s">_SubLabel</v>
      <v t="s">Prix</v>
      <v t="s">Change</v>
      <v t="s">Nom officiel</v>
      <v t="s">Dernière heure d'échange</v>
      <v t="s">Code mnémonique</v>
      <v t="s">Abréviation de change</v>
      <v t="s">Modifier</v>
      <v t="s">Modification (%)</v>
      <v t="s">Devise</v>
      <v t="s">Clôture précédente</v>
      <v t="s">Ouvrir</v>
      <v t="s">Haut</v>
      <v t="s">Bas</v>
      <v t="s">Haut depuis 52 semaines</v>
      <v t="s">Bas depuis 52 semaines</v>
      <v t="s">Volume</v>
      <v t="s">Volume moyen</v>
      <v t="s">Capitalisation boursière</v>
      <v t="s">Bêta</v>
      <v t="s">P/E</v>
      <v t="s">Actions en circulation</v>
      <v t="s">Description</v>
      <v t="s">Employés</v>
      <v t="s">Sièges sociaux</v>
      <v t="s">Industrie</v>
      <v t="s">Type d'instrument</v>
      <v t="s">Année de constitution</v>
      <v t="s">_Flags</v>
      <v t="s">UniqueName</v>
      <v t="s">_DisplayString</v>
      <v t="s">LearnMoreOnLink</v>
      <v t="s">ExchangeID</v>
      <v t="s">%ProviderInfo</v>
    </a>
    <a count="29">
      <v t="s">%EntityServiceId</v>
      <v t="s">_Format</v>
      <v t="s">%IsRefreshable</v>
      <v t="s">_CanonicalPropertyNames</v>
      <v t="s">%EntityCulture</v>
      <v t="s">%EntityId</v>
      <v t="s">_Icon</v>
      <v t="s">_Display</v>
      <v t="s">Nom</v>
      <v t="s">_SubLabel</v>
      <v t="s">Prix</v>
      <v t="s">Change</v>
      <v t="s">Dernière heure d'échange</v>
      <v t="s">Code mnémonique</v>
      <v t="s">Abréviation de change</v>
      <v t="s">Modifier</v>
      <v t="s">Modification (%)</v>
      <v t="s">Devise</v>
      <v t="s">Clôture précédente</v>
      <v t="s">Ouvrir</v>
      <v t="s">Haut</v>
      <v t="s">Bas</v>
      <v t="s">Volume</v>
      <v t="s">Type d'instrument</v>
      <v t="s">_Flags</v>
      <v t="s">UniqueName</v>
      <v t="s">_DisplayString</v>
      <v t="s">LearnMoreOnLink</v>
      <v t="s">%ProviderInfo</v>
    </a>
    <a count="33">
      <v t="s">%EntityServiceId</v>
      <v t="s">_Format</v>
      <v t="s">%IsRefreshable</v>
      <v t="s">_CanonicalPropertyNames</v>
      <v t="s">%EntityCulture</v>
      <v t="s">%EntityId</v>
      <v t="s">_Icon</v>
      <v t="s">_Display</v>
      <v t="s">Nom</v>
      <v t="s">_SubLabel</v>
      <v t="s">Prix</v>
      <v t="s">Change</v>
      <v t="s">Dernière heure d'échange</v>
      <v t="s">Code mnémonique</v>
      <v t="s">Abréviation de change</v>
      <v t="s">Modifier</v>
      <v t="s">Taux de dépenses</v>
      <v t="s">Modification (%)</v>
      <v t="s">Devise</v>
      <v t="s">Clôture précédente</v>
      <v t="s">Ouvrir</v>
      <v t="s">Haut</v>
      <v t="s">Bas</v>
      <v t="s">Haut depuis 52 semaines</v>
      <v t="s">Bas depuis 52 semaines</v>
      <v t="s">Volume</v>
      <v t="s">Capitalisation boursière</v>
      <v t="s">Type d'instrument</v>
      <v t="s">_Flags</v>
      <v t="s">UniqueName</v>
      <v t="s">_DisplayString</v>
      <v t="s">LearnMoreOnLink</v>
      <v t="s">%ProviderInfo</v>
    </a>
  </spbArrays>
  <spbData count="29">
    <spb s="0">
      <v>Low</v>
      <v>Name</v>
      <v>High</v>
      <v>Price</v>
      <v>Currency</v>
      <v>Open</v>
      <v>Change</v>
      <v>UniqueName</v>
      <v>From currency</v>
      <v>%ProviderInfo</v>
      <v>Ticker symbol</v>
      <v>Change (%)</v>
      <v>Instrument type</v>
      <v>Previous close</v>
      <v>52 week low</v>
      <v>52 week high</v>
      <v>Last trade time</v>
    </spb>
    <spb s="1">
      <v>0</v>
      <v>Name</v>
    </spb>
    <spb s="2">
      <v>0</v>
      <v>0</v>
      <v>0</v>
    </spb>
    <spb s="3">
      <v>2</v>
      <v>2</v>
    </spb>
    <spb s="4">
      <v>1</v>
      <v>2</v>
      <v>1</v>
      <v>1</v>
      <v>1</v>
      <v>1</v>
      <v>3</v>
      <v>4</v>
      <v>1</v>
      <v>1</v>
      <v>1</v>
      <v>5</v>
    </spb>
    <spb s="5">
      <v>GMT</v>
    </spb>
    <spb s="6">
      <v>6</v>
    </spb>
    <spb s="7">
      <v>Low</v>
      <v>Name</v>
      <v>P/E</v>
      <v>Beta</v>
      <v>High</v>
      <v>Price</v>
      <v>Exchange</v>
      <v>Currency</v>
      <v>Open</v>
      <v>Volume</v>
      <v>Employees</v>
      <v>Change</v>
      <v>Industry</v>
      <v>ExchangeID</v>
      <v>UniqueName</v>
      <v>Description</v>
      <v>Official name</v>
      <v>Volume average</v>
      <v>%ProviderInfo</v>
      <v>Headquarters</v>
      <v>Ticker symbol</v>
      <v>LearnMoreOnLink</v>
      <v>Change (%)</v>
      <v>Instrument type</v>
      <v>Previous close</v>
      <v>Exchange abbreviation</v>
      <v>Year incorporated</v>
      <v>Shares outstanding</v>
      <v>52 week low</v>
      <v>52 week high</v>
      <v>Market cap</v>
      <v>Last trade time</v>
      <v>Price (Extended hours)</v>
      <v>Change (Extended hours)</v>
      <v>Change % (Extended hours)</v>
    </spb>
    <spb s="8">
      <v>1</v>
      <v>Name</v>
      <v>LearnMoreOnLink</v>
    </spb>
    <spb s="9">
      <v>2</v>
      <v>2</v>
      <v>2</v>
      <v>2</v>
    </spb>
    <spb s="10">
      <v>1</v>
      <v>2</v>
      <v>7</v>
      <v>7</v>
      <v>1</v>
      <v>1</v>
      <v>1</v>
      <v>8</v>
      <v>8</v>
      <v>1</v>
      <v>8</v>
      <v>3</v>
      <v>4</v>
      <v>1</v>
      <v>9</v>
      <v>8</v>
      <v>1</v>
      <v>1</v>
      <v>10</v>
      <v>5</v>
      <v>1</v>
      <v>1</v>
      <v>3</v>
    </spb>
    <spb s="11">
      <v xml:space="preserve">à la clôture </v>
      <v xml:space="preserve">depuis la clôture précédente </v>
      <v>Source: Nasdaq</v>
      <v xml:space="preserve">depuis la clôture précédente </v>
      <v>GMT</v>
      <v>Différé de 15 minutes</v>
      <v xml:space="preserve">depuis la clôture </v>
      <v xml:space="preserve">depuis la clôture </v>
    </spb>
    <spb s="6">
      <v>1</v>
    </spb>
    <spb s="12">
      <v>Low</v>
      <v>Name</v>
      <v>P/E</v>
      <v>Beta</v>
      <v>High</v>
      <v>Price</v>
      <v>Exchange</v>
      <v>Currency</v>
      <v>Open</v>
      <v>Volume</v>
      <v>Employees</v>
      <v>Change</v>
      <v>Industry</v>
      <v>ExchangeID</v>
      <v>UniqueName</v>
      <v>Description</v>
      <v>Official name</v>
      <v>Volume average</v>
      <v>%ProviderInfo</v>
      <v>Headquarters</v>
      <v>Ticker symbol</v>
      <v>LearnMoreOnLink</v>
      <v>Change (%)</v>
      <v>Instrument type</v>
      <v>Previous close</v>
      <v>Exchange abbreviation</v>
      <v>Year incorporated</v>
      <v>Shares outstanding</v>
      <v>52 week low</v>
      <v>52 week high</v>
      <v>Market cap</v>
      <v>Last trade time</v>
    </spb>
    <spb s="8">
      <v>2</v>
      <v>Name</v>
      <v>LearnMoreOnLink</v>
    </spb>
    <spb s="13">
      <v>11</v>
      <v>2</v>
      <v>7</v>
      <v>7</v>
      <v>11</v>
      <v>11</v>
      <v>11</v>
      <v>8</v>
      <v>8</v>
      <v>11</v>
      <v>8</v>
      <v>3</v>
      <v>4</v>
      <v>11</v>
      <v>9</v>
      <v>8</v>
      <v>11</v>
      <v>11</v>
      <v>12</v>
      <v>5</v>
    </spb>
    <spb s="14">
      <v>Différé de 15 minutes</v>
      <v xml:space="preserve">depuis la clôture précédente </v>
      <v xml:space="preserve">depuis la clôture précédente </v>
      <v>GMT</v>
    </spb>
    <spb s="6">
      <v>11</v>
    </spb>
    <spb s="15">
      <v>Low</v>
      <v>Name</v>
      <v>High</v>
      <v>Price</v>
      <v>Exchange</v>
      <v>Currency</v>
      <v>Open</v>
      <v>Volume</v>
      <v>Change</v>
      <v>UniqueName</v>
      <v>%ProviderInfo</v>
      <v>Ticker symbol</v>
      <v>LearnMoreOnLink</v>
      <v>Change (%)</v>
      <v>Instrument type</v>
      <v>Previous close</v>
      <v>Exchange abbreviation</v>
      <v>Last trade time</v>
    </spb>
    <spb s="8">
      <v>3</v>
      <v>Name</v>
      <v>LearnMoreOnLink</v>
    </spb>
    <spb s="16">
      <v>2</v>
      <v>2</v>
      <v>2</v>
    </spb>
    <spb s="17">
      <v>11</v>
      <v>2</v>
      <v>11</v>
      <v>11</v>
      <v>11</v>
      <v>8</v>
      <v>11</v>
      <v>3</v>
      <v>4</v>
      <v>11</v>
      <v>5</v>
    </spb>
    <spb s="18">
      <v>Low</v>
      <v>Name</v>
      <v>High</v>
      <v>Price</v>
      <v>Exchange</v>
      <v>Currency</v>
      <v>Open</v>
      <v>Volume</v>
      <v>Change</v>
      <v>UniqueName</v>
      <v>%ProviderInfo</v>
      <v>Ticker symbol</v>
      <v>LearnMoreOnLink</v>
      <v>Change (%)</v>
      <v>Expense ratio</v>
      <v>Instrument type</v>
      <v>Previous close</v>
      <v>Exchange abbreviation</v>
      <v>52 week low</v>
      <v>52 week high</v>
      <v>Market cap</v>
      <v>Last trade time</v>
    </spb>
    <spb s="8">
      <v>4</v>
      <v>Name</v>
      <v>LearnMoreOnLink</v>
    </spb>
    <spb s="19">
      <v>11</v>
      <v>2</v>
      <v>11</v>
      <v>11</v>
      <v>11</v>
      <v>8</v>
      <v>11</v>
      <v>3</v>
      <v>3</v>
      <v>4</v>
      <v>11</v>
      <v>11</v>
      <v>11</v>
      <v>12</v>
      <v>5</v>
    </spb>
    <spb s="11">
      <v xml:space="preserve">à la clôture </v>
      <v xml:space="preserve">depuis la clôture précédente </v>
      <v>Source: Nasdaq Dernière vente</v>
      <v xml:space="preserve">depuis la clôture précédente </v>
      <v>GMT</v>
      <v>En temps réel  Nasdaq Dernière vente</v>
      <v xml:space="preserve">depuis la clôture </v>
      <v xml:space="preserve">depuis la clôture </v>
    </spb>
    <spb s="13">
      <v>11</v>
      <v>2</v>
      <v>7</v>
      <v>7</v>
      <v>11</v>
      <v>11</v>
      <v>11</v>
      <v>8</v>
      <v>8</v>
      <v>11</v>
      <v>8</v>
      <v>3</v>
      <v>4</v>
      <v>11</v>
      <v>9</v>
      <v>8</v>
      <v>11</v>
      <v>11</v>
      <v>13</v>
      <v>5</v>
    </spb>
    <spb s="20">
      <v>6</v>
      <v>1</v>
    </spb>
    <spb s="20">
      <v>6</v>
      <v>11</v>
    </spb>
  </spbData>
</supportingPropertyBags>
</file>

<file path=xl/richData/rdsupportingpropertybagstructure.xml><?xml version="1.0" encoding="utf-8"?>
<spbStructures xmlns="http://schemas.microsoft.com/office/spreadsheetml/2017/richdata2" count="21">
  <s>
    <k n="Bas" t="s"/>
    <k n="Nom" t="s"/>
    <k n="Haut" t="s"/>
    <k n="Prix" t="s"/>
    <k n="Devise" t="s"/>
    <k n="Ouvrir" t="s"/>
    <k n="Modifier" t="s"/>
    <k n="UniqueName" t="s"/>
    <k n="De la devise" t="s"/>
    <k n="%ProviderInfo" t="s"/>
    <k n="Code mnémonique" t="s"/>
    <k n="Modification (%)" t="s"/>
    <k n="Type d'instrument" t="s"/>
    <k n="Clôture précédente" t="s"/>
    <k n="Bas depuis 52 semaines" t="s"/>
    <k n="Haut depuis 52 semaines" t="s"/>
    <k n="Dernière heure d'échange" t="s"/>
  </s>
  <s>
    <k n="^Order" t="spba"/>
    <k n="TitleProperty" t="s"/>
  </s>
  <s>
    <k n="ShowInCardView" t="b"/>
    <k n="ShowInDotNotation" t="b"/>
    <k n="ShowInAutoComplete" t="b"/>
  </s>
  <s>
    <k n="UniqueName" t="spb"/>
    <k n="`%ProviderInfo" t="spb"/>
  </s>
  <s>
    <k n="Bas" t="i"/>
    <k n="Nom" t="i"/>
    <k n="Haut" t="i"/>
    <k n="Prix" t="i"/>
    <k n="Ouvrir" t="i"/>
    <k n="Modifier" t="i"/>
    <k n="Modification (%)" t="i"/>
    <k n="`%EntityServiceId" t="i"/>
    <k n="Clôture précédente" t="i"/>
    <k n="Bas depuis 52 semaines" t="i"/>
    <k n="Haut depuis 52 semaines" t="i"/>
    <k n="Dernière heure d'échange" t="i"/>
  </s>
  <s>
    <k n="Dernière heure d'échange" t="s"/>
  </s>
  <s>
    <k n="_Self" t="i"/>
  </s>
  <s>
    <k n="Bas" t="s"/>
    <k n="Nom" t="s"/>
    <k n="P/E" t="s"/>
    <k n="Bêta" t="s"/>
    <k n="Haut" t="s"/>
    <k n="Prix" t="s"/>
    <k n="Change" t="s"/>
    <k n="Devise" t="s"/>
    <k n="Ouvrir" t="s"/>
    <k n="Volume" t="s"/>
    <k n="Employés" t="s"/>
    <k n="Modifier" t="s"/>
    <k n="Industrie" t="s"/>
    <k n="ExchangeID" t="s"/>
    <k n="UniqueName" t="s"/>
    <k n="Description" t="s"/>
    <k n="Nom officiel" t="s"/>
    <k n="Volume moyen" t="s"/>
    <k n="%ProviderInfo" t="s"/>
    <k n="Sièges sociaux" t="s"/>
    <k n="Code mnémonique" t="s"/>
    <k n="LearnMoreOnLink" t="s"/>
    <k n="Modification (%)" t="s"/>
    <k n="Type d'instrument" t="s"/>
    <k n="Clôture précédente" t="s"/>
    <k n="Abréviation de change" t="s"/>
    <k n="Année de constitution" t="s"/>
    <k n="Actions en circulation" t="s"/>
    <k n="Bas depuis 52 semaines" t="s"/>
    <k n="Haut depuis 52 semaines" t="s"/>
    <k n="Capitalisation boursière" t="s"/>
    <k n="Dernière heure d'échange" t="s"/>
    <k n="Prix (horaires prolongés)" t="s"/>
    <k n="Changement (horaires prolongés)" t="s"/>
    <k n="Changement en % (horaires prolongés)" t="s"/>
  </s>
  <s>
    <k n="^Order" t="spba"/>
    <k n="TitleProperty" t="s"/>
    <k n="SubTitleProperty" t="s"/>
  </s>
  <s>
    <k n="ExchangeID" t="spb"/>
    <k n="UniqueName" t="spb"/>
    <k n="`%ProviderInfo" t="spb"/>
    <k n="LearnMoreOnLink" t="spb"/>
  </s>
  <s>
    <k n="Bas" t="i"/>
    <k n="Nom" t="i"/>
    <k n="P/E" t="i"/>
    <k n="Bêta" t="i"/>
    <k n="Haut" t="i"/>
    <k n="Prix" t="i"/>
    <k n="Ouvrir" t="i"/>
    <k n="Volume" t="i"/>
    <k n="Employés" t="i"/>
    <k n="Modifier" t="i"/>
    <k n="Volume moyen" t="i"/>
    <k n="Modification (%)" t="i"/>
    <k n="`%EntityServiceId" t="i"/>
    <k n="Clôture précédente" t="i"/>
    <k n="Année de constitution" t="i"/>
    <k n="Actions en circulation" t="i"/>
    <k n="Bas depuis 52 semaines" t="i"/>
    <k n="Haut depuis 52 semaines" t="i"/>
    <k n="Capitalisation boursière" t="i"/>
    <k n="Dernière heure d'échange" t="i"/>
    <k n="Prix (horaires prolongés)" t="i"/>
    <k n="Changement (horaires prolongés)" t="i"/>
    <k n="Changement en % (horaires prolongés)" t="i"/>
  </s>
  <s>
    <k n="Prix" t="s"/>
    <k n="Modifier" t="s"/>
    <k n="ExchangeID" t="s"/>
    <k n="Modification (%)" t="s"/>
    <k n="Dernière heure d'échange" t="s"/>
    <k n="Prix (horaires prolongés)" t="s"/>
    <k n="Changement (horaires prolongés)" t="s"/>
    <k n="Changement en % (horaires prolongés)" t="s"/>
  </s>
  <s>
    <k n="Bas" t="s"/>
    <k n="Nom" t="s"/>
    <k n="P/E" t="s"/>
    <k n="Bêta" t="s"/>
    <k n="Haut" t="s"/>
    <k n="Prix" t="s"/>
    <k n="Change" t="s"/>
    <k n="Devise" t="s"/>
    <k n="Ouvrir" t="s"/>
    <k n="Volume" t="s"/>
    <k n="Employés" t="s"/>
    <k n="Modifier" t="s"/>
    <k n="Industrie" t="s"/>
    <k n="ExchangeID" t="s"/>
    <k n="UniqueName" t="s"/>
    <k n="Description" t="s"/>
    <k n="Nom officiel" t="s"/>
    <k n="Volume moyen" t="s"/>
    <k n="%ProviderInfo" t="s"/>
    <k n="Sièges sociaux" t="s"/>
    <k n="Code mnémonique" t="s"/>
    <k n="LearnMoreOnLink" t="s"/>
    <k n="Modification (%)" t="s"/>
    <k n="Type d'instrument" t="s"/>
    <k n="Clôture précédente" t="s"/>
    <k n="Abréviation de change" t="s"/>
    <k n="Année de constitution" t="s"/>
    <k n="Actions en circulation" t="s"/>
    <k n="Bas depuis 52 semaines" t="s"/>
    <k n="Haut depuis 52 semaines" t="s"/>
    <k n="Capitalisation boursière" t="s"/>
    <k n="Dernière heure d'échange" t="s"/>
  </s>
  <s>
    <k n="Bas" t="i"/>
    <k n="Nom" t="i"/>
    <k n="P/E" t="i"/>
    <k n="Bêta" t="i"/>
    <k n="Haut" t="i"/>
    <k n="Prix" t="i"/>
    <k n="Ouvrir" t="i"/>
    <k n="Volume" t="i"/>
    <k n="Employés" t="i"/>
    <k n="Modifier" t="i"/>
    <k n="Volume moyen" t="i"/>
    <k n="Modification (%)" t="i"/>
    <k n="`%EntityServiceId" t="i"/>
    <k n="Clôture précédente" t="i"/>
    <k n="Année de constitution" t="i"/>
    <k n="Actions en circulation" t="i"/>
    <k n="Bas depuis 52 semaines" t="i"/>
    <k n="Haut depuis 52 semaines" t="i"/>
    <k n="Capitalisation boursière" t="i"/>
    <k n="Dernière heure d'échange" t="i"/>
  </s>
  <s>
    <k n="Prix" t="s"/>
    <k n="Modifier" t="s"/>
    <k n="Modification (%)" t="s"/>
    <k n="Dernière heure d'échange" t="s"/>
  </s>
  <s>
    <k n="Bas" t="s"/>
    <k n="Nom" t="s"/>
    <k n="Haut" t="s"/>
    <k n="Prix" t="s"/>
    <k n="Change" t="s"/>
    <k n="Devise" t="s"/>
    <k n="Ouvrir" t="s"/>
    <k n="Volume" t="s"/>
    <k n="Modifier" t="s"/>
    <k n="UniqueName" t="s"/>
    <k n="%ProviderInfo" t="s"/>
    <k n="Code mnémonique" t="s"/>
    <k n="LearnMoreOnLink" t="s"/>
    <k n="Modification (%)" t="s"/>
    <k n="Type d'instrument" t="s"/>
    <k n="Clôture précédente" t="s"/>
    <k n="Abréviation de change" t="s"/>
    <k n="Dernière heure d'échange" t="s"/>
  </s>
  <s>
    <k n="UniqueName" t="spb"/>
    <k n="`%ProviderInfo" t="spb"/>
    <k n="LearnMoreOnLink" t="spb"/>
  </s>
  <s>
    <k n="Bas" t="i"/>
    <k n="Nom" t="i"/>
    <k n="Haut" t="i"/>
    <k n="Prix" t="i"/>
    <k n="Ouvrir" t="i"/>
    <k n="Volume" t="i"/>
    <k n="Modifier" t="i"/>
    <k n="Modification (%)" t="i"/>
    <k n="`%EntityServiceId" t="i"/>
    <k n="Clôture précédente" t="i"/>
    <k n="Dernière heure d'échange" t="i"/>
  </s>
  <s>
    <k n="Bas" t="s"/>
    <k n="Nom" t="s"/>
    <k n="Haut" t="s"/>
    <k n="Prix" t="s"/>
    <k n="Change" t="s"/>
    <k n="Devise" t="s"/>
    <k n="Ouvrir" t="s"/>
    <k n="Volume" t="s"/>
    <k n="Modifier" t="s"/>
    <k n="UniqueName" t="s"/>
    <k n="%ProviderInfo" t="s"/>
    <k n="Code mnémonique" t="s"/>
    <k n="LearnMoreOnLink" t="s"/>
    <k n="Modification (%)" t="s"/>
    <k n="Taux de dépenses" t="s"/>
    <k n="Type d'instrument" t="s"/>
    <k n="Clôture précédente" t="s"/>
    <k n="Abréviation de change" t="s"/>
    <k n="Bas depuis 52 semaines" t="s"/>
    <k n="Haut depuis 52 semaines" t="s"/>
    <k n="Capitalisation boursière" t="s"/>
    <k n="Dernière heure d'échange" t="s"/>
  </s>
  <s>
    <k n="Bas" t="i"/>
    <k n="Nom" t="i"/>
    <k n="Haut" t="i"/>
    <k n="Prix" t="i"/>
    <k n="Ouvrir" t="i"/>
    <k n="Volume" t="i"/>
    <k n="Modifier" t="i"/>
    <k n="Modification (%)" t="i"/>
    <k n="Taux de dépenses" t="i"/>
    <k n="`%EntityServiceId" t="i"/>
    <k n="Clôture précédente" t="i"/>
    <k n="Bas depuis 52 semaines" t="i"/>
    <k n="Haut depuis 52 semaines" t="i"/>
    <k n="Capitalisation boursière" t="i"/>
    <k n="Dernière heure d'échange" t="i"/>
  </s>
  <s>
    <k n="Date" t="i"/>
    <k n="Close" t="i"/>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8">
    <x:dxf>
      <x:numFmt numFmtId="2" formatCode="0.00"/>
    </x:dxf>
    <x:dxf>
      <x:numFmt numFmtId="0" formatCode="General"/>
    </x:dxf>
    <x:dxf>
      <x:numFmt numFmtId="27" formatCode="dd/mm/yyyy\ hh:mm"/>
    </x:dxf>
    <x:dxf>
      <x:numFmt numFmtId="14" formatCode="0.00%"/>
    </x:dxf>
    <x:dxf>
      <x:numFmt numFmtId="3" formatCode="#,##0"/>
    </x:dxf>
    <x:dxf>
      <x:numFmt numFmtId="4" formatCode="#,##0.00"/>
    </x:dxf>
    <x:dxf>
      <x:numFmt numFmtId="1" formatCode="0"/>
    </x:dxf>
    <x:dxf>
      <x:numFmt numFmtId="19" formatCode="dd/mm/yyyy"/>
    </x:dxf>
  </dxfs>
  <richProperties>
    <rPr n="NumberFormat" t="s"/>
    <rPr n="IsTitleField" t="b"/>
  </richProperties>
  <richStyles>
    <rSty dxfid="1">
      <rpv i="0">_([$$-en-US]* #,##0.00_);_([$$-en-US]* (#,##0.00);_([$$-en-US]* "-"??_);_(@_)</rpv>
    </rSty>
    <rSty>
      <rpv i="1">1</rpv>
    </rSty>
    <rSty dxfid="3"/>
    <rSty dxfid="0">
      <rpv i="0">0.00</rpv>
    </rSty>
    <rSty dxfid="2"/>
    <rSty dxfid="7"/>
    <rSty dxfid="5">
      <rpv i="0">#,##0.00</rpv>
    </rSty>
    <rSty dxfid="4">
      <rpv i="0">#,##0</rpv>
    </rSty>
    <rSty dxfid="6">
      <rpv i="0">0</rpv>
    </rSty>
    <rSty dxfid="1">
      <rpv i="0">_([$$-en-US]* #,##0_);_([$$-en-US]* (#,##0);_([$$-en-US]* "-"_);_(@_)</rpv>
    </rSty>
    <rSty dxfid="1">
      <rpv i="0">_([$€-x-euro2] * #,##0.00_);_([$€-x-euro2] * (#,##0.00);_([$€-x-euro2] * "-"??_);_(@_)</rpv>
    </rSty>
    <rSty dxfid="1">
      <rpv i="0">_([$€-x-euro2] * #,##0_);_([$€-x-euro2] * (#,##0);_([$€-x-euro2] * "-"_);_(@_)</rpv>
    </rSty>
    <rSty dxfid="1">
      <rpv i="0">_([$HK$-zh-HK]* #,##0_);_([$HK$-zh-HK]* (#,##0);_([$HK$-zh-HK]* "-"_);_(@_)</rpv>
    </rSty>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F8426E8-403A-BC4A-B734-0B7350F6C45D}" name="Ledger" displayName="Ledger" ref="A3:I23" totalsRowShown="0">
  <autoFilter ref="A3:I23" xr:uid="{8F8426E8-403A-BC4A-B734-0B7350F6C45D}"/>
  <tableColumns count="9">
    <tableColumn id="1" xr3:uid="{DEE7F5D1-18C7-6D40-89C9-F43F525E2A44}" name="Date" dataDxfId="2"/>
    <tableColumn id="2" xr3:uid="{A111949C-18A8-454D-A76C-E98F4D8AEE96}" name="Stock"/>
    <tableColumn id="3" xr3:uid="{46C928A4-058A-684A-BE6A-85C384F23400}" name="Transaction"/>
    <tableColumn id="4" xr3:uid="{4F94175B-2E48-264D-9E05-75445085D7C7}" name="Units"/>
    <tableColumn id="5" xr3:uid="{AA828BDB-23F6-2547-A681-3D8D8BC80D0F}" name="Price"/>
    <tableColumn id="6" xr3:uid="{876170C2-DA86-0A43-8F85-9CC9C9289DB2}" name="Currency"/>
    <tableColumn id="9" xr3:uid="{36DEF0A1-26BD-CA4D-9937-04A74D1D9471}" name="FX Rate" dataDxfId="1">
      <calculatedColumnFormula>IF(F4="EUR",1,$K$4)</calculatedColumnFormula>
    </tableColumn>
    <tableColumn id="7" xr3:uid="{F2499212-9291-1C42-A525-0B645F23B225}" name="Transaction Amount"/>
    <tableColumn id="8" xr3:uid="{FD7E3EB9-3D62-414A-A56B-774F3715A245}" name="Ticker" dataDxfId="0">
      <calculatedColumnFormula array="1">_FV(Ledger[ [#This Row],[Stock] ],"Code mnémonique",TRUE)</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6E28E-54AF-D04D-A4F8-20DABA5544A2}">
  <dimension ref="A1:JF20"/>
  <sheetViews>
    <sheetView showGridLines="0" tabSelected="1" zoomScale="125" workbookViewId="0">
      <selection activeCell="JO13" sqref="JO13"/>
    </sheetView>
  </sheetViews>
  <sheetFormatPr baseColWidth="10" defaultRowHeight="16" x14ac:dyDescent="0.2"/>
  <cols>
    <col min="1" max="1" width="2.83203125" customWidth="1"/>
    <col min="2" max="2" width="48.5" bestFit="1" customWidth="1"/>
    <col min="3" max="3" width="38.33203125" bestFit="1" customWidth="1"/>
    <col min="4" max="4" width="10.83203125" customWidth="1"/>
    <col min="6" max="6" width="12" bestFit="1" customWidth="1"/>
    <col min="7" max="7" width="11.5" customWidth="1"/>
    <col min="8" max="8" width="9.1640625" customWidth="1"/>
    <col min="9" max="9" width="10.83203125" customWidth="1"/>
    <col min="11" max="11" width="15.83203125" customWidth="1"/>
  </cols>
  <sheetData>
    <row r="1" spans="1:266" ht="58" customHeight="1" x14ac:dyDescent="0.45">
      <c r="A1" s="1"/>
      <c r="B1" s="2"/>
      <c r="C1" s="2"/>
      <c r="D1" s="2"/>
      <c r="E1" s="2"/>
      <c r="F1" s="2"/>
      <c r="G1" s="10" t="s">
        <v>22</v>
      </c>
      <c r="H1" s="15" t="s">
        <v>25</v>
      </c>
      <c r="I1" s="16" t="s">
        <v>20</v>
      </c>
      <c r="J1" s="2"/>
      <c r="K1" s="18" t="e" vm="1">
        <v>#VALUE!</v>
      </c>
    </row>
    <row r="2" spans="1:266" ht="38" customHeight="1" x14ac:dyDescent="0.2">
      <c r="A2" s="2"/>
      <c r="B2" s="2"/>
      <c r="C2" s="2"/>
      <c r="D2" s="2"/>
      <c r="E2" s="2"/>
      <c r="F2" s="2"/>
      <c r="G2" s="13">
        <f ca="1">SUM(_xlfn.ANCHORARRAY(G6))</f>
        <v>1319.7820499999998</v>
      </c>
      <c r="H2" s="14">
        <f ca="1">SUM(H6:H12)</f>
        <v>-30.647450000000031</v>
      </c>
      <c r="I2" s="17">
        <f ca="1">H2/ (G2-H2)</f>
        <v>-2.2694594571578922E-2</v>
      </c>
      <c r="J2" s="2"/>
      <c r="K2" s="19" cm="1">
        <f t="array" aca="1" ref="K2" ca="1">_FV(K1,"Prix")</f>
        <v>1.1558999999999999</v>
      </c>
    </row>
    <row r="4" spans="1:266" x14ac:dyDescent="0.2">
      <c r="B4" s="5" t="s">
        <v>12</v>
      </c>
      <c r="C4" s="4"/>
      <c r="D4" s="4"/>
      <c r="E4" s="4"/>
      <c r="F4" s="4"/>
      <c r="G4" s="4"/>
      <c r="H4" s="4"/>
      <c r="I4" s="4"/>
      <c r="J4" s="4"/>
      <c r="K4" s="4"/>
    </row>
    <row r="5" spans="1:266" x14ac:dyDescent="0.2">
      <c r="B5" s="6" t="s">
        <v>13</v>
      </c>
      <c r="C5" s="6" t="s">
        <v>14</v>
      </c>
      <c r="D5" s="6" t="s">
        <v>24</v>
      </c>
      <c r="E5" s="6" t="s">
        <v>3</v>
      </c>
      <c r="F5" s="6" t="s">
        <v>15</v>
      </c>
      <c r="G5" s="6" t="s">
        <v>16</v>
      </c>
      <c r="H5" s="6" t="s">
        <v>21</v>
      </c>
      <c r="I5" s="6" t="s">
        <v>20</v>
      </c>
      <c r="J5" s="6" t="s">
        <v>17</v>
      </c>
      <c r="K5" s="6" t="s">
        <v>18</v>
      </c>
      <c r="M5" cm="1" vm="2">
        <f t="array" aca="1" ref="M5:JA6" ca="1">TRANSPOSE(_xlfn.STOCKHISTORY(B6,TODAY()-365,TODAY(),0,0,0,1))</f>
        <v>45607</v>
      </c>
      <c r="N5" vm="3">
        <f ca="1"/>
        <v>45608</v>
      </c>
      <c r="O5" vm="4">
        <f ca="1"/>
        <v>45609</v>
      </c>
      <c r="P5" vm="5">
        <f ca="1"/>
        <v>45610</v>
      </c>
      <c r="Q5" vm="6">
        <f ca="1"/>
        <v>45611</v>
      </c>
      <c r="R5" vm="7">
        <f ca="1"/>
        <v>45614</v>
      </c>
      <c r="S5" vm="8">
        <f ca="1"/>
        <v>45615</v>
      </c>
      <c r="T5" vm="9">
        <f ca="1"/>
        <v>45616</v>
      </c>
      <c r="U5" vm="10">
        <f ca="1"/>
        <v>45617</v>
      </c>
      <c r="V5" vm="11">
        <f ca="1"/>
        <v>45618</v>
      </c>
      <c r="W5" vm="12">
        <f ca="1"/>
        <v>45621</v>
      </c>
      <c r="X5" vm="13">
        <f ca="1"/>
        <v>45622</v>
      </c>
      <c r="Y5" vm="14">
        <f ca="1"/>
        <v>45623</v>
      </c>
      <c r="Z5" vm="15">
        <f ca="1"/>
        <v>45625</v>
      </c>
      <c r="AA5" vm="16">
        <f ca="1"/>
        <v>45628</v>
      </c>
      <c r="AB5" vm="17">
        <f ca="1"/>
        <v>45629</v>
      </c>
      <c r="AC5" vm="18">
        <f ca="1"/>
        <v>45630</v>
      </c>
      <c r="AD5" vm="19">
        <f ca="1"/>
        <v>45631</v>
      </c>
      <c r="AE5" vm="20">
        <f ca="1"/>
        <v>45632</v>
      </c>
      <c r="AF5" vm="21">
        <f ca="1"/>
        <v>45635</v>
      </c>
      <c r="AG5" vm="22">
        <f ca="1"/>
        <v>45636</v>
      </c>
      <c r="AH5" vm="23">
        <f ca="1"/>
        <v>45637</v>
      </c>
      <c r="AI5" vm="24">
        <f ca="1"/>
        <v>45638</v>
      </c>
      <c r="AJ5" vm="25">
        <f ca="1"/>
        <v>45639</v>
      </c>
      <c r="AK5" vm="26">
        <f ca="1"/>
        <v>45642</v>
      </c>
      <c r="AL5" vm="27">
        <f ca="1"/>
        <v>45643</v>
      </c>
      <c r="AM5" vm="28">
        <f ca="1"/>
        <v>45644</v>
      </c>
      <c r="AN5" vm="29">
        <f ca="1"/>
        <v>45645</v>
      </c>
      <c r="AO5" vm="30">
        <f ca="1"/>
        <v>45646</v>
      </c>
      <c r="AP5" vm="31">
        <f ca="1"/>
        <v>45649</v>
      </c>
      <c r="AQ5" vm="32">
        <f ca="1"/>
        <v>45650</v>
      </c>
      <c r="AR5" vm="33">
        <f ca="1"/>
        <v>45652</v>
      </c>
      <c r="AS5" vm="34">
        <f ca="1"/>
        <v>45653</v>
      </c>
      <c r="AT5" vm="35">
        <f ca="1"/>
        <v>45656</v>
      </c>
      <c r="AU5" vm="36">
        <f ca="1"/>
        <v>45657</v>
      </c>
      <c r="AV5" vm="37">
        <f ca="1"/>
        <v>45659</v>
      </c>
      <c r="AW5" vm="38">
        <f ca="1"/>
        <v>45660</v>
      </c>
      <c r="AX5" vm="39">
        <f ca="1"/>
        <v>45663</v>
      </c>
      <c r="AY5" vm="40">
        <f ca="1"/>
        <v>45664</v>
      </c>
      <c r="AZ5" vm="41">
        <f ca="1"/>
        <v>45665</v>
      </c>
      <c r="BA5" vm="42">
        <f ca="1"/>
        <v>45667</v>
      </c>
      <c r="BB5" vm="43">
        <f ca="1"/>
        <v>45670</v>
      </c>
      <c r="BC5" vm="44">
        <f ca="1"/>
        <v>45671</v>
      </c>
      <c r="BD5" vm="45">
        <f ca="1"/>
        <v>45672</v>
      </c>
      <c r="BE5" vm="46">
        <f ca="1"/>
        <v>45673</v>
      </c>
      <c r="BF5" vm="47">
        <f ca="1"/>
        <v>45674</v>
      </c>
      <c r="BG5" vm="48">
        <f ca="1"/>
        <v>45678</v>
      </c>
      <c r="BH5" vm="49">
        <f ca="1"/>
        <v>45679</v>
      </c>
      <c r="BI5" vm="50">
        <f ca="1"/>
        <v>45680</v>
      </c>
      <c r="BJ5" vm="51">
        <f ca="1"/>
        <v>45681</v>
      </c>
      <c r="BK5" vm="52">
        <f ca="1"/>
        <v>45684</v>
      </c>
      <c r="BL5" vm="53">
        <f ca="1"/>
        <v>45685</v>
      </c>
      <c r="BM5" vm="54">
        <f ca="1"/>
        <v>45686</v>
      </c>
      <c r="BN5" vm="55">
        <f ca="1"/>
        <v>45687</v>
      </c>
      <c r="BO5" vm="56">
        <f ca="1"/>
        <v>45688</v>
      </c>
      <c r="BP5" vm="57">
        <f ca="1"/>
        <v>45691</v>
      </c>
      <c r="BQ5" vm="58">
        <f ca="1"/>
        <v>45692</v>
      </c>
      <c r="BR5" vm="59">
        <f ca="1"/>
        <v>45693</v>
      </c>
      <c r="BS5" vm="60">
        <f ca="1"/>
        <v>45694</v>
      </c>
      <c r="BT5" vm="61">
        <f ca="1"/>
        <v>45695</v>
      </c>
      <c r="BU5" vm="62">
        <f ca="1"/>
        <v>45698</v>
      </c>
      <c r="BV5" vm="63">
        <f ca="1"/>
        <v>45699</v>
      </c>
      <c r="BW5" vm="64">
        <f ca="1"/>
        <v>45700</v>
      </c>
      <c r="BX5" vm="65">
        <f ca="1"/>
        <v>45701</v>
      </c>
      <c r="BY5" vm="66">
        <f ca="1"/>
        <v>45702</v>
      </c>
      <c r="BZ5" vm="67">
        <f ca="1"/>
        <v>45706</v>
      </c>
      <c r="CA5" vm="68">
        <f ca="1"/>
        <v>45707</v>
      </c>
      <c r="CB5" vm="69">
        <f ca="1"/>
        <v>45708</v>
      </c>
      <c r="CC5" vm="70">
        <f ca="1"/>
        <v>45709</v>
      </c>
      <c r="CD5" vm="71">
        <f ca="1"/>
        <v>45712</v>
      </c>
      <c r="CE5" vm="72">
        <f ca="1"/>
        <v>45713</v>
      </c>
      <c r="CF5" vm="73">
        <f ca="1"/>
        <v>45714</v>
      </c>
      <c r="CG5" vm="74">
        <f ca="1"/>
        <v>45715</v>
      </c>
      <c r="CH5" vm="75">
        <f ca="1"/>
        <v>45716</v>
      </c>
      <c r="CI5" vm="76">
        <f ca="1"/>
        <v>45719</v>
      </c>
      <c r="CJ5" vm="77">
        <f ca="1"/>
        <v>45720</v>
      </c>
      <c r="CK5" vm="78">
        <f ca="1"/>
        <v>45721</v>
      </c>
      <c r="CL5" vm="79">
        <f ca="1"/>
        <v>45722</v>
      </c>
      <c r="CM5" vm="80">
        <f ca="1"/>
        <v>45723</v>
      </c>
      <c r="CN5" vm="81">
        <f ca="1"/>
        <v>45726</v>
      </c>
      <c r="CO5" vm="82">
        <f ca="1"/>
        <v>45727</v>
      </c>
      <c r="CP5" vm="83">
        <f ca="1"/>
        <v>45728</v>
      </c>
      <c r="CQ5" vm="84">
        <f ca="1"/>
        <v>45729</v>
      </c>
      <c r="CR5" vm="85">
        <f ca="1"/>
        <v>45730</v>
      </c>
      <c r="CS5" vm="86">
        <f ca="1"/>
        <v>45733</v>
      </c>
      <c r="CT5" vm="87">
        <f ca="1"/>
        <v>45734</v>
      </c>
      <c r="CU5" vm="88">
        <f ca="1"/>
        <v>45735</v>
      </c>
      <c r="CV5" vm="89">
        <f ca="1"/>
        <v>45736</v>
      </c>
      <c r="CW5" vm="90">
        <f ca="1"/>
        <v>45737</v>
      </c>
      <c r="CX5" vm="91">
        <f ca="1"/>
        <v>45740</v>
      </c>
      <c r="CY5" vm="92">
        <f ca="1"/>
        <v>45741</v>
      </c>
      <c r="CZ5" vm="93">
        <f ca="1"/>
        <v>45742</v>
      </c>
      <c r="DA5" vm="94">
        <f ca="1"/>
        <v>45743</v>
      </c>
      <c r="DB5" vm="95">
        <f ca="1"/>
        <v>45744</v>
      </c>
      <c r="DC5" vm="96">
        <f ca="1"/>
        <v>45747</v>
      </c>
      <c r="DD5" vm="97">
        <f ca="1"/>
        <v>45748</v>
      </c>
      <c r="DE5" vm="98">
        <f ca="1"/>
        <v>45749</v>
      </c>
      <c r="DF5" vm="99">
        <f ca="1"/>
        <v>45750</v>
      </c>
      <c r="DG5" vm="100">
        <f ca="1"/>
        <v>45751</v>
      </c>
      <c r="DH5" vm="101">
        <f ca="1"/>
        <v>45754</v>
      </c>
      <c r="DI5" vm="102">
        <f ca="1"/>
        <v>45755</v>
      </c>
      <c r="DJ5" vm="103">
        <f ca="1"/>
        <v>45756</v>
      </c>
      <c r="DK5" vm="104">
        <f ca="1"/>
        <v>45757</v>
      </c>
      <c r="DL5" vm="105">
        <f ca="1"/>
        <v>45758</v>
      </c>
      <c r="DM5" vm="106">
        <f ca="1"/>
        <v>45761</v>
      </c>
      <c r="DN5" vm="107">
        <f ca="1"/>
        <v>45762</v>
      </c>
      <c r="DO5" vm="108">
        <f ca="1"/>
        <v>45763</v>
      </c>
      <c r="DP5" vm="109">
        <f ca="1"/>
        <v>45764</v>
      </c>
      <c r="DQ5" vm="110">
        <f ca="1"/>
        <v>45768</v>
      </c>
      <c r="DR5" vm="111">
        <f ca="1"/>
        <v>45769</v>
      </c>
      <c r="DS5" vm="112">
        <f ca="1"/>
        <v>45770</v>
      </c>
      <c r="DT5" vm="113">
        <f ca="1"/>
        <v>45771</v>
      </c>
      <c r="DU5" vm="114">
        <f ca="1"/>
        <v>45772</v>
      </c>
      <c r="DV5" vm="115">
        <f ca="1"/>
        <v>45775</v>
      </c>
      <c r="DW5" vm="116">
        <f ca="1"/>
        <v>45776</v>
      </c>
      <c r="DX5" vm="117">
        <f ca="1"/>
        <v>45777</v>
      </c>
      <c r="DY5" vm="118">
        <f ca="1"/>
        <v>45778</v>
      </c>
      <c r="DZ5" vm="119">
        <f ca="1"/>
        <v>45779</v>
      </c>
      <c r="EA5" vm="120">
        <f ca="1"/>
        <v>45782</v>
      </c>
      <c r="EB5" vm="121">
        <f ca="1"/>
        <v>45783</v>
      </c>
      <c r="EC5" vm="122">
        <f ca="1"/>
        <v>45784</v>
      </c>
      <c r="ED5" vm="123">
        <f ca="1"/>
        <v>45785</v>
      </c>
      <c r="EE5" vm="124">
        <f ca="1"/>
        <v>45786</v>
      </c>
      <c r="EF5" vm="125">
        <f ca="1"/>
        <v>45789</v>
      </c>
      <c r="EG5" vm="126">
        <f ca="1"/>
        <v>45790</v>
      </c>
      <c r="EH5" vm="127">
        <f ca="1"/>
        <v>45791</v>
      </c>
      <c r="EI5" vm="128">
        <f ca="1"/>
        <v>45792</v>
      </c>
      <c r="EJ5" vm="129">
        <f ca="1"/>
        <v>45793</v>
      </c>
      <c r="EK5" vm="130">
        <f ca="1"/>
        <v>45796</v>
      </c>
      <c r="EL5" vm="131">
        <f ca="1"/>
        <v>45797</v>
      </c>
      <c r="EM5" vm="132">
        <f ca="1"/>
        <v>45798</v>
      </c>
      <c r="EN5" vm="133">
        <f ca="1"/>
        <v>45799</v>
      </c>
      <c r="EO5" vm="134">
        <f ca="1"/>
        <v>45800</v>
      </c>
      <c r="EP5" vm="135">
        <f ca="1"/>
        <v>45804</v>
      </c>
      <c r="EQ5" vm="136">
        <f ca="1"/>
        <v>45805</v>
      </c>
      <c r="ER5" vm="137">
        <f ca="1"/>
        <v>45806</v>
      </c>
      <c r="ES5" vm="138">
        <f ca="1"/>
        <v>45807</v>
      </c>
      <c r="ET5" vm="139">
        <f ca="1"/>
        <v>45810</v>
      </c>
      <c r="EU5" vm="140">
        <f ca="1"/>
        <v>45811</v>
      </c>
      <c r="EV5" vm="141">
        <f ca="1"/>
        <v>45812</v>
      </c>
      <c r="EW5" vm="142">
        <f ca="1"/>
        <v>45813</v>
      </c>
      <c r="EX5" vm="143">
        <f ca="1"/>
        <v>45814</v>
      </c>
      <c r="EY5" vm="144">
        <f ca="1"/>
        <v>45817</v>
      </c>
      <c r="EZ5" vm="145">
        <f ca="1"/>
        <v>45818</v>
      </c>
      <c r="FA5" vm="146">
        <f ca="1"/>
        <v>45819</v>
      </c>
      <c r="FB5" vm="147">
        <f ca="1"/>
        <v>45820</v>
      </c>
      <c r="FC5" vm="148">
        <f ca="1"/>
        <v>45821</v>
      </c>
      <c r="FD5" vm="149">
        <f ca="1"/>
        <v>45824</v>
      </c>
      <c r="FE5" vm="150">
        <f ca="1"/>
        <v>45825</v>
      </c>
      <c r="FF5" vm="151">
        <f ca="1"/>
        <v>45826</v>
      </c>
      <c r="FG5" vm="152">
        <f ca="1"/>
        <v>45828</v>
      </c>
      <c r="FH5" vm="153">
        <f ca="1"/>
        <v>45831</v>
      </c>
      <c r="FI5" vm="154">
        <f ca="1"/>
        <v>45832</v>
      </c>
      <c r="FJ5" vm="155">
        <f ca="1"/>
        <v>45833</v>
      </c>
      <c r="FK5" vm="156">
        <f ca="1"/>
        <v>45834</v>
      </c>
      <c r="FL5" vm="157">
        <f ca="1"/>
        <v>45835</v>
      </c>
      <c r="FM5" vm="158">
        <f ca="1"/>
        <v>45838</v>
      </c>
      <c r="FN5" vm="159">
        <f ca="1"/>
        <v>45839</v>
      </c>
      <c r="FO5" vm="160">
        <f ca="1"/>
        <v>45840</v>
      </c>
      <c r="FP5" vm="161">
        <f ca="1"/>
        <v>45841</v>
      </c>
      <c r="FQ5" vm="162">
        <f ca="1"/>
        <v>45845</v>
      </c>
      <c r="FR5" vm="163">
        <f ca="1"/>
        <v>45846</v>
      </c>
      <c r="FS5" vm="164">
        <f ca="1"/>
        <v>45847</v>
      </c>
      <c r="FT5" vm="165">
        <f ca="1"/>
        <v>45848</v>
      </c>
      <c r="FU5" vm="166">
        <f ca="1"/>
        <v>45849</v>
      </c>
      <c r="FV5" vm="167">
        <f ca="1"/>
        <v>45852</v>
      </c>
      <c r="FW5" vm="168">
        <f ca="1"/>
        <v>45853</v>
      </c>
      <c r="FX5" vm="169">
        <f ca="1"/>
        <v>45854</v>
      </c>
      <c r="FY5" vm="170">
        <f ca="1"/>
        <v>45855</v>
      </c>
      <c r="FZ5" vm="171">
        <f ca="1"/>
        <v>45856</v>
      </c>
      <c r="GA5" vm="172">
        <f ca="1"/>
        <v>45859</v>
      </c>
      <c r="GB5" vm="173">
        <f ca="1"/>
        <v>45860</v>
      </c>
      <c r="GC5" vm="174">
        <f ca="1"/>
        <v>45861</v>
      </c>
      <c r="GD5" vm="175">
        <f ca="1"/>
        <v>45862</v>
      </c>
      <c r="GE5" vm="176">
        <f ca="1"/>
        <v>45863</v>
      </c>
      <c r="GF5" vm="177">
        <f ca="1"/>
        <v>45866</v>
      </c>
      <c r="GG5" vm="178">
        <f ca="1"/>
        <v>45867</v>
      </c>
      <c r="GH5" vm="179">
        <f ca="1"/>
        <v>45868</v>
      </c>
      <c r="GI5" vm="180">
        <f ca="1"/>
        <v>45869</v>
      </c>
      <c r="GJ5" vm="181">
        <f ca="1"/>
        <v>45870</v>
      </c>
      <c r="GK5" vm="182">
        <f ca="1"/>
        <v>45873</v>
      </c>
      <c r="GL5" vm="183">
        <f ca="1"/>
        <v>45874</v>
      </c>
      <c r="GM5" vm="184">
        <f ca="1"/>
        <v>45875</v>
      </c>
      <c r="GN5" vm="185">
        <f ca="1"/>
        <v>45876</v>
      </c>
      <c r="GO5" vm="186">
        <f ca="1"/>
        <v>45877</v>
      </c>
      <c r="GP5" vm="187">
        <f ca="1"/>
        <v>45880</v>
      </c>
      <c r="GQ5" vm="188">
        <f ca="1"/>
        <v>45881</v>
      </c>
      <c r="GR5" vm="189">
        <f ca="1"/>
        <v>45882</v>
      </c>
      <c r="GS5" vm="190">
        <f ca="1"/>
        <v>45883</v>
      </c>
      <c r="GT5" vm="191">
        <f ca="1"/>
        <v>45884</v>
      </c>
      <c r="GU5" vm="192">
        <f ca="1"/>
        <v>45887</v>
      </c>
      <c r="GV5" vm="193">
        <f ca="1"/>
        <v>45888</v>
      </c>
      <c r="GW5" vm="194">
        <f ca="1"/>
        <v>45889</v>
      </c>
      <c r="GX5" vm="195">
        <f ca="1"/>
        <v>45890</v>
      </c>
      <c r="GY5" vm="196">
        <f ca="1"/>
        <v>45891</v>
      </c>
      <c r="GZ5" vm="197">
        <f ca="1"/>
        <v>45894</v>
      </c>
      <c r="HA5" vm="198">
        <f ca="1"/>
        <v>45895</v>
      </c>
      <c r="HB5" vm="199">
        <f ca="1"/>
        <v>45896</v>
      </c>
      <c r="HC5" vm="200">
        <f ca="1"/>
        <v>45897</v>
      </c>
      <c r="HD5" vm="201">
        <f ca="1"/>
        <v>45898</v>
      </c>
      <c r="HE5" vm="202">
        <f ca="1"/>
        <v>45902</v>
      </c>
      <c r="HF5" vm="203">
        <f ca="1"/>
        <v>45903</v>
      </c>
      <c r="HG5" vm="204">
        <f ca="1"/>
        <v>45904</v>
      </c>
      <c r="HH5" vm="205">
        <f ca="1"/>
        <v>45905</v>
      </c>
      <c r="HI5" vm="206">
        <f ca="1"/>
        <v>45908</v>
      </c>
      <c r="HJ5" vm="207">
        <f ca="1"/>
        <v>45909</v>
      </c>
      <c r="HK5" vm="208">
        <f ca="1"/>
        <v>45910</v>
      </c>
      <c r="HL5" vm="209">
        <f ca="1"/>
        <v>45911</v>
      </c>
      <c r="HM5" vm="210">
        <f ca="1"/>
        <v>45912</v>
      </c>
      <c r="HN5" vm="211">
        <f ca="1"/>
        <v>45915</v>
      </c>
      <c r="HO5" vm="212">
        <f ca="1"/>
        <v>45916</v>
      </c>
      <c r="HP5" vm="213">
        <f ca="1"/>
        <v>45917</v>
      </c>
      <c r="HQ5" vm="214">
        <f ca="1"/>
        <v>45918</v>
      </c>
      <c r="HR5" vm="215">
        <f ca="1"/>
        <v>45919</v>
      </c>
      <c r="HS5" vm="216">
        <f ca="1"/>
        <v>45922</v>
      </c>
      <c r="HT5" vm="217">
        <f ca="1"/>
        <v>45923</v>
      </c>
      <c r="HU5" vm="218">
        <f ca="1"/>
        <v>45924</v>
      </c>
      <c r="HV5" vm="219">
        <f ca="1"/>
        <v>45925</v>
      </c>
      <c r="HW5" vm="220">
        <f ca="1"/>
        <v>45926</v>
      </c>
      <c r="HX5" vm="221">
        <f ca="1"/>
        <v>45929</v>
      </c>
      <c r="HY5" vm="222">
        <f ca="1"/>
        <v>45930</v>
      </c>
      <c r="HZ5" vm="223">
        <f ca="1"/>
        <v>45931</v>
      </c>
      <c r="IA5" vm="224">
        <f ca="1"/>
        <v>45932</v>
      </c>
      <c r="IB5" vm="225">
        <f ca="1"/>
        <v>45933</v>
      </c>
      <c r="IC5" vm="226">
        <f ca="1"/>
        <v>45936</v>
      </c>
      <c r="ID5" vm="227">
        <f ca="1"/>
        <v>45937</v>
      </c>
      <c r="IE5" vm="228">
        <f ca="1"/>
        <v>45938</v>
      </c>
      <c r="IF5" vm="229">
        <f ca="1"/>
        <v>45939</v>
      </c>
      <c r="IG5" vm="230">
        <f ca="1"/>
        <v>45940</v>
      </c>
      <c r="IH5" vm="231">
        <f ca="1"/>
        <v>45943</v>
      </c>
      <c r="II5" vm="232">
        <f ca="1"/>
        <v>45944</v>
      </c>
      <c r="IJ5" vm="233">
        <f ca="1"/>
        <v>45945</v>
      </c>
      <c r="IK5" vm="234">
        <f ca="1"/>
        <v>45946</v>
      </c>
      <c r="IL5" vm="235">
        <f ca="1"/>
        <v>45947</v>
      </c>
      <c r="IM5" vm="236">
        <f ca="1"/>
        <v>45950</v>
      </c>
      <c r="IN5" vm="237">
        <f ca="1"/>
        <v>45951</v>
      </c>
      <c r="IO5" vm="238">
        <f ca="1"/>
        <v>45952</v>
      </c>
      <c r="IP5" vm="239">
        <f ca="1"/>
        <v>45953</v>
      </c>
      <c r="IQ5" vm="240">
        <f ca="1"/>
        <v>45954</v>
      </c>
      <c r="IR5" vm="241">
        <f ca="1"/>
        <v>45957</v>
      </c>
      <c r="IS5" vm="242">
        <f ca="1"/>
        <v>45958</v>
      </c>
      <c r="IT5" vm="243">
        <f ca="1"/>
        <v>45959</v>
      </c>
      <c r="IU5" vm="244">
        <f ca="1"/>
        <v>45960</v>
      </c>
      <c r="IV5" vm="245">
        <f ca="1"/>
        <v>45961</v>
      </c>
      <c r="IW5" vm="246">
        <f ca="1"/>
        <v>45964</v>
      </c>
      <c r="IX5" vm="247">
        <f ca="1"/>
        <v>45965</v>
      </c>
      <c r="IY5" vm="248">
        <f ca="1"/>
        <v>45966</v>
      </c>
      <c r="IZ5" vm="249">
        <f ca="1"/>
        <v>45967</v>
      </c>
      <c r="JA5" vm="250">
        <f ca="1"/>
        <v>45968</v>
      </c>
    </row>
    <row r="6" spans="1:266" ht="20" customHeight="1" x14ac:dyDescent="0.2">
      <c r="B6" t="e" cm="1" vm="251">
        <f t="array" ref="B6:B12">_xlfn._xlws.SORT(_xlfn.UNIQUE(_xlfn._xlws.FILTER(Ledger[Stock],SUMIF( Ledger[Stock],Ledger[Stock],Ledger[Units])&lt;&gt;0)))</f>
        <v>#VALUE!</v>
      </c>
      <c r="C6" t="str" cm="1">
        <f t="array" aca="1" ref="C6:C12" ca="1">IFERROR(_FV(_xlfn.ANCHORARRAY(B6),"Industrie"),"ETF")</f>
        <v>Diversified Retail</v>
      </c>
      <c r="D6" t="str" cm="1">
        <f t="array" aca="1" ref="D6:D12" ca="1">_FV(_xlfn.ANCHORARRAY(B6),"Devise")</f>
        <v>USD</v>
      </c>
      <c r="E6" cm="1">
        <f t="array" ref="E6:E12">SUMIF(Ledger[Stock],_xlfn.ANCHORARRAY(B6),Ledger[Units])</f>
        <v>0.21</v>
      </c>
      <c r="F6" cm="1">
        <f t="array" aca="1" ref="F6:F12" ca="1">IF(C6="USD",_FV(_xlfn.ANCHORARRAY( B6),"Prix",TRUE)*$K$4,_FV(_xlfn.ANCHORARRAY( B6),"Prix",TRUE))</f>
        <v>244.41</v>
      </c>
      <c r="G6" cm="1">
        <f t="array" aca="1" ref="G6:G12" ca="1">_xlfn.ANCHORARRAY(E6)*_xlfn.ANCHORARRAY(F6)</f>
        <v>51.326099999999997</v>
      </c>
      <c r="H6" s="11" cm="1">
        <f t="array" aca="1" ref="H6" ca="1">(F6-IF(C6="USD",_FV( B6,"Clôture précédente",TRUE)*$K$4,_FV( B6,"Clôture précédente",TRUE)))*E6</f>
        <v>0.28770000000000095</v>
      </c>
      <c r="I6" s="8" cm="1">
        <f t="array" aca="1" ref="I6" ca="1">(F6-_FV(B6,"Clôture précédente",TRUE))/_FV(B6,"Clôture précédente",TRUE)</f>
        <v>5.6369321922317504E-3</v>
      </c>
      <c r="J6" s="12" cm="1">
        <f t="array" aca="1" ref="J6:J12" ca="1">-SUMIF(Ledger[Stock],_xlfn.ANCHORARRAY(B6), Ledger[Transaction Amount])+_xlfn.ANCHORARRAY(G6)</f>
        <v>1.3260999999999967</v>
      </c>
      <c r="K6" t="s">
        <v>19</v>
      </c>
      <c r="M6" vm="252">
        <f ca="1"/>
        <v>206.84</v>
      </c>
      <c r="N6" vm="253">
        <f ca="1"/>
        <v>208.91</v>
      </c>
      <c r="O6" vm="254">
        <f ca="1"/>
        <v>214.1</v>
      </c>
      <c r="P6" vm="255">
        <f ca="1"/>
        <v>211.48</v>
      </c>
      <c r="Q6" vm="256">
        <f ca="1"/>
        <v>202.61</v>
      </c>
      <c r="R6" vm="257">
        <f ca="1"/>
        <v>201.7</v>
      </c>
      <c r="S6" vm="258">
        <f ca="1"/>
        <v>204.61</v>
      </c>
      <c r="T6" vm="259">
        <f ca="1"/>
        <v>202.88</v>
      </c>
      <c r="U6" vm="260">
        <f ca="1"/>
        <v>198.38</v>
      </c>
      <c r="V6" vm="261">
        <f ca="1"/>
        <v>197.12</v>
      </c>
      <c r="W6" vm="262">
        <f ca="1"/>
        <v>201.45</v>
      </c>
      <c r="X6" vm="263">
        <f ca="1"/>
        <v>207.86</v>
      </c>
      <c r="Y6" vm="264">
        <f ca="1"/>
        <v>205.74</v>
      </c>
      <c r="Z6" vm="265">
        <f ca="1"/>
        <v>207.89</v>
      </c>
      <c r="AA6" vm="266">
        <f ca="1"/>
        <v>210.71</v>
      </c>
      <c r="AB6" vm="267">
        <f ca="1"/>
        <v>213.44</v>
      </c>
      <c r="AC6" vm="268">
        <f ca="1"/>
        <v>218.16</v>
      </c>
      <c r="AD6" vm="269">
        <f ca="1"/>
        <v>220.55</v>
      </c>
      <c r="AE6" vm="270">
        <f ca="1"/>
        <v>227.03</v>
      </c>
      <c r="AF6" vm="271">
        <f ca="1"/>
        <v>226.09</v>
      </c>
      <c r="AG6" vm="272">
        <f ca="1"/>
        <v>225.04</v>
      </c>
      <c r="AH6" vm="273">
        <f ca="1"/>
        <v>230.26</v>
      </c>
      <c r="AI6" vm="274">
        <f ca="1"/>
        <v>228.97</v>
      </c>
      <c r="AJ6" vm="275">
        <f ca="1"/>
        <v>227.46</v>
      </c>
      <c r="AK6" vm="276">
        <f ca="1"/>
        <v>232.93</v>
      </c>
      <c r="AL6" vm="277">
        <f ca="1"/>
        <v>231.15</v>
      </c>
      <c r="AM6" vm="278">
        <f ca="1"/>
        <v>220.52</v>
      </c>
      <c r="AN6" vm="279">
        <f ca="1"/>
        <v>223.29</v>
      </c>
      <c r="AO6" vm="280">
        <f ca="1"/>
        <v>224.92</v>
      </c>
      <c r="AP6" vm="281">
        <f ca="1"/>
        <v>225.06</v>
      </c>
      <c r="AQ6" vm="282">
        <f ca="1"/>
        <v>229.05</v>
      </c>
      <c r="AR6" vm="283">
        <f ca="1"/>
        <v>227.05</v>
      </c>
      <c r="AS6" vm="284">
        <f ca="1"/>
        <v>223.75</v>
      </c>
      <c r="AT6" vm="285">
        <f ca="1"/>
        <v>221.3</v>
      </c>
      <c r="AU6" vm="286">
        <f ca="1"/>
        <v>219.39</v>
      </c>
      <c r="AV6" vm="287">
        <f ca="1"/>
        <v>220.22</v>
      </c>
      <c r="AW6" vm="288">
        <f ca="1"/>
        <v>224.19</v>
      </c>
      <c r="AX6" vm="289">
        <f ca="1"/>
        <v>227.61</v>
      </c>
      <c r="AY6" vm="290">
        <f ca="1"/>
        <v>222.11</v>
      </c>
      <c r="AZ6" vm="291">
        <f ca="1"/>
        <v>222.13</v>
      </c>
      <c r="BA6" vm="292">
        <f ca="1"/>
        <v>218.94</v>
      </c>
      <c r="BB6" vm="293">
        <f ca="1"/>
        <v>218.46</v>
      </c>
      <c r="BC6" vm="294">
        <f ca="1"/>
        <v>217.76</v>
      </c>
      <c r="BD6" vm="295">
        <f ca="1"/>
        <v>223.35</v>
      </c>
      <c r="BE6" vm="296">
        <f ca="1"/>
        <v>220.66</v>
      </c>
      <c r="BF6" vm="297">
        <f ca="1"/>
        <v>225.94</v>
      </c>
      <c r="BG6" vm="298">
        <f ca="1"/>
        <v>230.71</v>
      </c>
      <c r="BH6" vm="299">
        <f ca="1"/>
        <v>235.01</v>
      </c>
      <c r="BI6" vm="300">
        <f ca="1"/>
        <v>235.42</v>
      </c>
      <c r="BJ6" vm="301">
        <f ca="1"/>
        <v>234.85</v>
      </c>
      <c r="BK6" vm="300">
        <f ca="1"/>
        <v>235.42</v>
      </c>
      <c r="BL6" vm="302">
        <f ca="1"/>
        <v>238.15</v>
      </c>
      <c r="BM6" vm="303">
        <f ca="1"/>
        <v>237.07</v>
      </c>
      <c r="BN6" vm="304">
        <f ca="1"/>
        <v>234.64</v>
      </c>
      <c r="BO6" vm="305">
        <f ca="1"/>
        <v>237.68</v>
      </c>
      <c r="BP6" vm="306">
        <f ca="1"/>
        <v>237.42</v>
      </c>
      <c r="BQ6" vm="307">
        <f ca="1"/>
        <v>242.06</v>
      </c>
      <c r="BR6" vm="308">
        <f ca="1"/>
        <v>236.17</v>
      </c>
      <c r="BS6" vm="309">
        <f ca="1"/>
        <v>238.83</v>
      </c>
      <c r="BT6" vm="310">
        <f ca="1"/>
        <v>229.15</v>
      </c>
      <c r="BU6" vm="311">
        <f ca="1"/>
        <v>233.14</v>
      </c>
      <c r="BV6" vm="312">
        <f ca="1"/>
        <v>232.76</v>
      </c>
      <c r="BW6" vm="313">
        <f ca="1"/>
        <v>228.93</v>
      </c>
      <c r="BX6" vm="314">
        <f ca="1"/>
        <v>230.37</v>
      </c>
      <c r="BY6" vm="315">
        <f ca="1"/>
        <v>228.68</v>
      </c>
      <c r="BZ6" vm="316">
        <f ca="1"/>
        <v>226.65</v>
      </c>
      <c r="CA6" vm="317">
        <f ca="1"/>
        <v>226.63</v>
      </c>
      <c r="CB6" vm="318">
        <f ca="1"/>
        <v>222.88</v>
      </c>
      <c r="CC6" vm="319">
        <f ca="1"/>
        <v>216.58</v>
      </c>
      <c r="CD6" vm="320">
        <f ca="1"/>
        <v>212.71</v>
      </c>
      <c r="CE6" vm="321">
        <f ca="1"/>
        <v>212.8</v>
      </c>
      <c r="CF6" vm="322">
        <f ca="1"/>
        <v>214.35</v>
      </c>
      <c r="CG6" vm="323">
        <f ca="1"/>
        <v>208.74</v>
      </c>
      <c r="CH6" vm="324">
        <f ca="1"/>
        <v>212.28</v>
      </c>
      <c r="CI6" vm="325">
        <f ca="1"/>
        <v>205.02</v>
      </c>
      <c r="CJ6" vm="326">
        <f ca="1"/>
        <v>203.8</v>
      </c>
      <c r="CK6" vm="327">
        <f ca="1"/>
        <v>208.36</v>
      </c>
      <c r="CL6" vm="328">
        <f ca="1"/>
        <v>200.7</v>
      </c>
      <c r="CM6" vm="329">
        <f ca="1"/>
        <v>199.25</v>
      </c>
      <c r="CN6" vm="330">
        <f ca="1"/>
        <v>194.54</v>
      </c>
      <c r="CO6" vm="331">
        <f ca="1"/>
        <v>196.59</v>
      </c>
      <c r="CP6" vm="332">
        <f ca="1"/>
        <v>198.89</v>
      </c>
      <c r="CQ6" vm="333">
        <f ca="1"/>
        <v>193.89</v>
      </c>
      <c r="CR6" vm="334">
        <f ca="1"/>
        <v>197.95</v>
      </c>
      <c r="CS6" vm="335">
        <f ca="1"/>
        <v>195.74</v>
      </c>
      <c r="CT6" vm="336">
        <f ca="1"/>
        <v>192.82</v>
      </c>
      <c r="CU6" vm="337">
        <f ca="1"/>
        <v>195.54</v>
      </c>
      <c r="CV6" vm="338">
        <f ca="1"/>
        <v>194.95</v>
      </c>
      <c r="CW6" vm="339">
        <f ca="1"/>
        <v>196.21</v>
      </c>
      <c r="CX6" vm="340">
        <f ca="1"/>
        <v>203.26</v>
      </c>
      <c r="CY6" vm="341">
        <f ca="1"/>
        <v>205.71</v>
      </c>
      <c r="CZ6" vm="342">
        <f ca="1"/>
        <v>201.13</v>
      </c>
      <c r="DA6" vm="343">
        <f ca="1"/>
        <v>201.36</v>
      </c>
      <c r="DB6" vm="344">
        <f ca="1"/>
        <v>192.72</v>
      </c>
      <c r="DC6" vm="345">
        <f ca="1"/>
        <v>190.26</v>
      </c>
      <c r="DD6" vm="346">
        <f ca="1"/>
        <v>192.17</v>
      </c>
      <c r="DE6" vm="347">
        <f ca="1"/>
        <v>196.01</v>
      </c>
      <c r="DF6" vm="348">
        <f ca="1"/>
        <v>178.41</v>
      </c>
      <c r="DG6" vm="349">
        <f ca="1"/>
        <v>171</v>
      </c>
      <c r="DH6" vm="350">
        <f ca="1"/>
        <v>175.26</v>
      </c>
      <c r="DI6" vm="351">
        <f ca="1"/>
        <v>170.66</v>
      </c>
      <c r="DJ6" vm="352">
        <f ca="1"/>
        <v>191.1</v>
      </c>
      <c r="DK6" vm="353">
        <f ca="1"/>
        <v>181.22</v>
      </c>
      <c r="DL6" vm="354">
        <f ca="1"/>
        <v>184.87</v>
      </c>
      <c r="DM6" vm="355">
        <f ca="1"/>
        <v>182.12</v>
      </c>
      <c r="DN6" vm="356">
        <f ca="1"/>
        <v>179.59</v>
      </c>
      <c r="DO6" vm="357">
        <f ca="1"/>
        <v>174.33</v>
      </c>
      <c r="DP6" vm="358">
        <f ca="1"/>
        <v>172.61</v>
      </c>
      <c r="DQ6" vm="359">
        <f ca="1"/>
        <v>167.32</v>
      </c>
      <c r="DR6" vm="360">
        <f ca="1"/>
        <v>173.18</v>
      </c>
      <c r="DS6" vm="361">
        <f ca="1"/>
        <v>180.6</v>
      </c>
      <c r="DT6" vm="362">
        <f ca="1"/>
        <v>186.54</v>
      </c>
      <c r="DU6" vm="363">
        <f ca="1"/>
        <v>188.99</v>
      </c>
      <c r="DV6" vm="364">
        <f ca="1"/>
        <v>187.7</v>
      </c>
      <c r="DW6" vm="365">
        <f ca="1"/>
        <v>187.39</v>
      </c>
      <c r="DX6" vm="366">
        <f ca="1"/>
        <v>184.42</v>
      </c>
      <c r="DY6" vm="367">
        <f ca="1"/>
        <v>190.2</v>
      </c>
      <c r="DZ6" vm="368">
        <f ca="1"/>
        <v>189.98</v>
      </c>
      <c r="EA6" vm="369">
        <f ca="1"/>
        <v>186.35</v>
      </c>
      <c r="EB6" vm="370">
        <f ca="1"/>
        <v>185.01</v>
      </c>
      <c r="EC6" vm="371">
        <f ca="1"/>
        <v>188.71</v>
      </c>
      <c r="ED6" vm="372">
        <f ca="1"/>
        <v>192.08</v>
      </c>
      <c r="EE6" vm="373">
        <f ca="1"/>
        <v>193.06</v>
      </c>
      <c r="EF6" vm="374">
        <f ca="1"/>
        <v>208.64</v>
      </c>
      <c r="EG6" vm="375">
        <f ca="1"/>
        <v>211.37</v>
      </c>
      <c r="EH6" vm="376">
        <f ca="1"/>
        <v>210.25</v>
      </c>
      <c r="EI6" vm="377">
        <f ca="1"/>
        <v>205.17</v>
      </c>
      <c r="EJ6" vm="378">
        <f ca="1"/>
        <v>205.59</v>
      </c>
      <c r="EK6" vm="379">
        <f ca="1"/>
        <v>206.16</v>
      </c>
      <c r="EL6" vm="380">
        <f ca="1"/>
        <v>204.07</v>
      </c>
      <c r="EM6" vm="381">
        <f ca="1"/>
        <v>201.12</v>
      </c>
      <c r="EN6" vm="382">
        <f ca="1"/>
        <v>203.1</v>
      </c>
      <c r="EO6" vm="383">
        <f ca="1"/>
        <v>200.99</v>
      </c>
      <c r="EP6" vm="384">
        <f ca="1"/>
        <v>206.02</v>
      </c>
      <c r="EQ6" vm="385">
        <f ca="1"/>
        <v>204.72</v>
      </c>
      <c r="ER6" vm="386">
        <f ca="1"/>
        <v>205.7</v>
      </c>
      <c r="ES6" vm="387">
        <f ca="1"/>
        <v>205.01</v>
      </c>
      <c r="ET6" vm="388">
        <f ca="1"/>
        <v>206.65</v>
      </c>
      <c r="EU6" vm="341">
        <f ca="1"/>
        <v>205.71</v>
      </c>
      <c r="EV6" vm="389">
        <f ca="1"/>
        <v>207.23</v>
      </c>
      <c r="EW6" vm="390">
        <f ca="1"/>
        <v>207.91</v>
      </c>
      <c r="EX6" vm="391">
        <f ca="1"/>
        <v>213.57</v>
      </c>
      <c r="EY6" vm="392">
        <f ca="1"/>
        <v>216.98</v>
      </c>
      <c r="EZ6" vm="393">
        <f ca="1"/>
        <v>217.61</v>
      </c>
      <c r="FA6" vm="394">
        <f ca="1"/>
        <v>213.2</v>
      </c>
      <c r="FB6" vm="395">
        <f ca="1"/>
        <v>213.24</v>
      </c>
      <c r="FC6" vm="396">
        <f ca="1"/>
        <v>212.1</v>
      </c>
      <c r="FD6" vm="397">
        <f ca="1"/>
        <v>216.1</v>
      </c>
      <c r="FE6" vm="398">
        <f ca="1"/>
        <v>214.82</v>
      </c>
      <c r="FF6" vm="399">
        <f ca="1"/>
        <v>212.52</v>
      </c>
      <c r="FG6" vm="400">
        <f ca="1"/>
        <v>209.69</v>
      </c>
      <c r="FH6" vm="401">
        <f ca="1"/>
        <v>208.47</v>
      </c>
      <c r="FI6" vm="402">
        <f ca="1"/>
        <v>212.77</v>
      </c>
      <c r="FJ6" vm="403">
        <f ca="1"/>
        <v>211.99</v>
      </c>
      <c r="FK6" vm="404">
        <f ca="1"/>
        <v>217.12</v>
      </c>
      <c r="FL6" vm="405">
        <f ca="1"/>
        <v>223.3</v>
      </c>
      <c r="FM6" vm="286">
        <f ca="1"/>
        <v>219.39</v>
      </c>
      <c r="FN6" vm="406">
        <f ca="1"/>
        <v>220.46</v>
      </c>
      <c r="FO6" vm="407">
        <f ca="1"/>
        <v>219.92</v>
      </c>
      <c r="FP6" vm="408">
        <f ca="1"/>
        <v>223.41</v>
      </c>
      <c r="FQ6" vm="409">
        <f ca="1"/>
        <v>223.47</v>
      </c>
      <c r="FR6" vm="410">
        <f ca="1"/>
        <v>219.36</v>
      </c>
      <c r="FS6" vm="411">
        <f ca="1"/>
        <v>222.54</v>
      </c>
      <c r="FT6" vm="412">
        <f ca="1"/>
        <v>222.26</v>
      </c>
      <c r="FU6" vm="413">
        <f ca="1"/>
        <v>225.02</v>
      </c>
      <c r="FV6" vm="414">
        <f ca="1"/>
        <v>225.69</v>
      </c>
      <c r="FW6" vm="415">
        <f ca="1"/>
        <v>226.35</v>
      </c>
      <c r="FX6" vm="416">
        <f ca="1"/>
        <v>223.19</v>
      </c>
      <c r="FY6" vm="417">
        <f ca="1"/>
        <v>223.88</v>
      </c>
      <c r="FZ6" vm="418">
        <f ca="1"/>
        <v>226.13</v>
      </c>
      <c r="GA6" vm="419">
        <f ca="1"/>
        <v>229.3</v>
      </c>
      <c r="GB6" vm="420">
        <f ca="1"/>
        <v>227.47</v>
      </c>
      <c r="GC6" vm="421">
        <f ca="1"/>
        <v>228.29</v>
      </c>
      <c r="GD6" vm="422">
        <f ca="1"/>
        <v>232.23</v>
      </c>
      <c r="GE6" vm="423">
        <f ca="1"/>
        <v>231.44</v>
      </c>
      <c r="GF6" vm="424">
        <f ca="1"/>
        <v>232.79</v>
      </c>
      <c r="GG6" vm="425">
        <f ca="1"/>
        <v>231.01</v>
      </c>
      <c r="GH6" vm="426">
        <f ca="1"/>
        <v>230.19</v>
      </c>
      <c r="GI6" vm="427">
        <f ca="1"/>
        <v>234.11</v>
      </c>
      <c r="GJ6" vm="428">
        <f ca="1"/>
        <v>214.75</v>
      </c>
      <c r="GK6" vm="429">
        <f ca="1"/>
        <v>211.65</v>
      </c>
      <c r="GL6" vm="430">
        <f ca="1"/>
        <v>213.75</v>
      </c>
      <c r="GM6" vm="431">
        <f ca="1"/>
        <v>222.31</v>
      </c>
      <c r="GN6" vm="432">
        <f ca="1"/>
        <v>223.13</v>
      </c>
      <c r="GO6" vm="433">
        <f ca="1"/>
        <v>222.69</v>
      </c>
      <c r="GP6" vm="285">
        <f ca="1"/>
        <v>221.3</v>
      </c>
      <c r="GQ6" vm="434">
        <f ca="1"/>
        <v>221.47</v>
      </c>
      <c r="GR6" vm="435">
        <f ca="1"/>
        <v>224.56</v>
      </c>
      <c r="GS6" vm="436">
        <f ca="1"/>
        <v>230.98</v>
      </c>
      <c r="GT6" vm="437">
        <f ca="1"/>
        <v>231.03</v>
      </c>
      <c r="GU6" vm="438">
        <f ca="1"/>
        <v>231.49</v>
      </c>
      <c r="GV6" vm="439">
        <f ca="1"/>
        <v>228.01</v>
      </c>
      <c r="GW6" vm="440">
        <f ca="1"/>
        <v>223.81</v>
      </c>
      <c r="GX6" vm="441">
        <f ca="1"/>
        <v>221.95</v>
      </c>
      <c r="GY6" vm="442">
        <f ca="1"/>
        <v>228.84</v>
      </c>
      <c r="GZ6" vm="443">
        <f ca="1"/>
        <v>227.94</v>
      </c>
      <c r="HA6" vm="444">
        <f ca="1"/>
        <v>228.71</v>
      </c>
      <c r="HB6" vm="445">
        <f ca="1"/>
        <v>229.12</v>
      </c>
      <c r="HC6" vm="446">
        <f ca="1"/>
        <v>231.6</v>
      </c>
      <c r="HD6" vm="447">
        <f ca="1"/>
        <v>229</v>
      </c>
      <c r="HE6" vm="448">
        <f ca="1"/>
        <v>225.34</v>
      </c>
      <c r="HF6" vm="449">
        <f ca="1"/>
        <v>225.99</v>
      </c>
      <c r="HG6" vm="450">
        <f ca="1"/>
        <v>235.68</v>
      </c>
      <c r="HH6" vm="451">
        <f ca="1"/>
        <v>232.33</v>
      </c>
      <c r="HI6" vm="452">
        <f ca="1"/>
        <v>235.84</v>
      </c>
      <c r="HJ6" vm="453">
        <f ca="1"/>
        <v>238.24</v>
      </c>
      <c r="HK6" vm="454">
        <f ca="1"/>
        <v>230.33</v>
      </c>
      <c r="HL6" vm="455">
        <f ca="1"/>
        <v>229.95</v>
      </c>
      <c r="HM6" vm="456">
        <f ca="1"/>
        <v>228.15</v>
      </c>
      <c r="HN6" vm="457">
        <f ca="1"/>
        <v>231.43</v>
      </c>
      <c r="HO6" vm="458">
        <f ca="1"/>
        <v>234.05</v>
      </c>
      <c r="HP6" vm="459">
        <f ca="1"/>
        <v>231.62</v>
      </c>
      <c r="HQ6" vm="460">
        <f ca="1"/>
        <v>231.23</v>
      </c>
      <c r="HR6" vm="461">
        <f ca="1"/>
        <v>231.48</v>
      </c>
      <c r="HS6" vm="462">
        <f ca="1"/>
        <v>227.63</v>
      </c>
      <c r="HT6" vm="463">
        <f ca="1"/>
        <v>220.71</v>
      </c>
      <c r="HU6" vm="464">
        <f ca="1"/>
        <v>220.21</v>
      </c>
      <c r="HV6" vm="465">
        <f ca="1"/>
        <v>218.15</v>
      </c>
      <c r="HW6" vm="466">
        <f ca="1"/>
        <v>219.78</v>
      </c>
      <c r="HX6" vm="467">
        <f ca="1"/>
        <v>222.17</v>
      </c>
      <c r="HY6" vm="468">
        <f ca="1"/>
        <v>219.57</v>
      </c>
      <c r="HZ6" vm="469">
        <f ca="1"/>
        <v>220.63</v>
      </c>
      <c r="IA6" vm="470">
        <f ca="1"/>
        <v>222.41</v>
      </c>
      <c r="IB6" vm="471">
        <f ca="1"/>
        <v>219.51</v>
      </c>
      <c r="IC6" vm="472">
        <f ca="1"/>
        <v>220.9</v>
      </c>
      <c r="ID6" vm="473">
        <f ca="1"/>
        <v>221.78</v>
      </c>
      <c r="IE6" vm="474">
        <f ca="1"/>
        <v>225.22</v>
      </c>
      <c r="IF6" vm="475">
        <f ca="1"/>
        <v>227.74</v>
      </c>
      <c r="IG6" vm="476">
        <f ca="1"/>
        <v>216.37</v>
      </c>
      <c r="IH6" vm="477">
        <f ca="1"/>
        <v>220.07</v>
      </c>
      <c r="II6" vm="478">
        <f ca="1"/>
        <v>216.39</v>
      </c>
      <c r="IJ6" vm="479">
        <f ca="1"/>
        <v>215.57</v>
      </c>
      <c r="IK6" vm="480">
        <f ca="1"/>
        <v>214.47</v>
      </c>
      <c r="IL6" vm="481">
        <f ca="1"/>
        <v>213.04</v>
      </c>
      <c r="IM6" vm="482">
        <f ca="1"/>
        <v>216.48</v>
      </c>
      <c r="IN6" vm="483">
        <f ca="1"/>
        <v>222.03</v>
      </c>
      <c r="IO6" vm="484">
        <f ca="1"/>
        <v>217.95</v>
      </c>
      <c r="IP6" vm="485">
        <f ca="1"/>
        <v>221.09</v>
      </c>
      <c r="IQ6" vm="486">
        <f ca="1"/>
        <v>224.21</v>
      </c>
      <c r="IR6" vm="487">
        <f ca="1"/>
        <v>226.97</v>
      </c>
      <c r="IS6" vm="488">
        <f ca="1"/>
        <v>229.25</v>
      </c>
      <c r="IT6" vm="489">
        <f ca="1"/>
        <v>230.3</v>
      </c>
      <c r="IU6" vm="490">
        <f ca="1"/>
        <v>222.86</v>
      </c>
      <c r="IV6" vm="491">
        <f ca="1"/>
        <v>244.22</v>
      </c>
      <c r="IW6" vm="492">
        <f ca="1"/>
        <v>254</v>
      </c>
      <c r="IX6" vm="493">
        <f ca="1"/>
        <v>249.32</v>
      </c>
      <c r="IY6" vm="494">
        <f ca="1"/>
        <v>250.2</v>
      </c>
      <c r="IZ6" vm="495">
        <f ca="1"/>
        <v>243.04</v>
      </c>
      <c r="JA6" vm="496">
        <f ca="1"/>
        <v>244.41</v>
      </c>
    </row>
    <row r="7" spans="1:266" ht="20" customHeight="1" x14ac:dyDescent="0.2">
      <c r="B7" t="e" vm="497">
        <v>#VALUE!</v>
      </c>
      <c r="C7" t="str">
        <f ca="1"/>
        <v>Banking Services</v>
      </c>
      <c r="D7" t="str">
        <f ca="1"/>
        <v>EUR</v>
      </c>
      <c r="E7">
        <v>1</v>
      </c>
      <c r="F7">
        <f ca="1"/>
        <v>65.489999999999995</v>
      </c>
      <c r="G7">
        <f ca="1"/>
        <v>65.489999999999995</v>
      </c>
      <c r="H7" s="11" cm="1">
        <f t="array" aca="1" ref="H7" ca="1">(F7-IF(C7="USD",_FV( B7,"Clôture précédente",TRUE)*$K$4,_FV( B7,"Clôture précédente",TRUE)))*E7</f>
        <v>0.14999999999999147</v>
      </c>
      <c r="I7" s="8" cm="1">
        <f t="array" aca="1" ref="I7" ca="1">(F7-_FV(B7,"Clôture précédente",TRUE))/_FV(B7,"Clôture précédente",TRUE)</f>
        <v>2.2956841138658014E-3</v>
      </c>
      <c r="J7" s="12">
        <f ca="1"/>
        <v>-1.6700000000000017</v>
      </c>
      <c r="M7" cm="1" vm="498">
        <f t="array" aca="1" ref="M7:JF7" ca="1">TRANSPOSE(_xlfn.STOCKHISTORY(B7,TODAY()-365,TODAY(),0,0,1))</f>
        <v>60.94</v>
      </c>
      <c r="N7" vm="499">
        <f ca="1"/>
        <v>59.38</v>
      </c>
      <c r="O7" vm="500">
        <f ca="1"/>
        <v>59.12</v>
      </c>
      <c r="P7" vm="501">
        <f ca="1"/>
        <v>59.47</v>
      </c>
      <c r="Q7" vm="502">
        <f ca="1"/>
        <v>60.11</v>
      </c>
      <c r="R7" vm="503">
        <f ca="1"/>
        <v>60.42</v>
      </c>
      <c r="S7" vm="504">
        <f ca="1"/>
        <v>59.31</v>
      </c>
      <c r="T7" vm="505">
        <f ca="1"/>
        <v>58.49</v>
      </c>
      <c r="U7" vm="506">
        <f ca="1"/>
        <v>58.22</v>
      </c>
      <c r="V7" vm="507">
        <f ca="1"/>
        <v>56.92</v>
      </c>
      <c r="W7" vm="508">
        <f ca="1"/>
        <v>56.98</v>
      </c>
      <c r="X7" vm="509">
        <f ca="1"/>
        <v>56.3</v>
      </c>
      <c r="Y7" vm="510">
        <f ca="1"/>
        <v>55.63</v>
      </c>
      <c r="Z7" vm="511">
        <f ca="1"/>
        <v>56.14</v>
      </c>
      <c r="AA7" vm="512">
        <f ca="1"/>
        <v>56.64</v>
      </c>
      <c r="AB7" vm="513">
        <f ca="1"/>
        <v>55.94</v>
      </c>
      <c r="AC7" vm="514">
        <f ca="1"/>
        <v>55.78</v>
      </c>
      <c r="AD7" vm="515">
        <f ca="1"/>
        <v>56.5</v>
      </c>
      <c r="AE7" vm="516">
        <f ca="1"/>
        <v>57.97</v>
      </c>
      <c r="AF7" vm="517">
        <f ca="1"/>
        <v>58.57</v>
      </c>
      <c r="AG7" vm="518">
        <f ca="1"/>
        <v>60.06</v>
      </c>
      <c r="AH7" vm="519">
        <f ca="1"/>
        <v>59.7</v>
      </c>
      <c r="AI7" vm="520">
        <f ca="1"/>
        <v>59.59</v>
      </c>
      <c r="AJ7" vm="521">
        <f ca="1"/>
        <v>58.92</v>
      </c>
      <c r="AK7" vm="522">
        <f ca="1"/>
        <v>58.94</v>
      </c>
      <c r="AL7" vm="523">
        <f ca="1"/>
        <v>58.82</v>
      </c>
      <c r="AM7" vm="524">
        <f ca="1"/>
        <v>58.25</v>
      </c>
      <c r="AN7" vm="525">
        <f ca="1"/>
        <v>58.63</v>
      </c>
      <c r="AO7" vm="526">
        <f ca="1"/>
        <v>57.81</v>
      </c>
      <c r="AP7" vm="527">
        <f ca="1"/>
        <v>57.48</v>
      </c>
      <c r="AQ7" vm="528">
        <f ca="1"/>
        <v>57.44</v>
      </c>
      <c r="AR7" vm="529">
        <f ca="1"/>
        <v>57.54</v>
      </c>
      <c r="AS7" vm="530">
        <f ca="1"/>
        <v>58.54</v>
      </c>
      <c r="AT7" vm="531">
        <f ca="1"/>
        <v>58.73</v>
      </c>
      <c r="AU7" vm="532">
        <f ca="1"/>
        <v>59.22</v>
      </c>
      <c r="AV7" vm="533">
        <f ca="1"/>
        <v>59.25</v>
      </c>
      <c r="AW7" vm="505">
        <f ca="1"/>
        <v>58.49</v>
      </c>
      <c r="AX7" vm="534">
        <f ca="1"/>
        <v>60.03</v>
      </c>
      <c r="AY7" vm="535">
        <f ca="1"/>
        <v>60.4</v>
      </c>
      <c r="AZ7" vm="536">
        <f ca="1"/>
        <v>60.14</v>
      </c>
      <c r="BA7" vm="537">
        <f ca="1"/>
        <v>59.95</v>
      </c>
      <c r="BB7" vm="538">
        <f ca="1"/>
        <v>59.35</v>
      </c>
      <c r="BC7" vm="539">
        <f ca="1"/>
        <v>59.64</v>
      </c>
      <c r="BD7" vm="540">
        <f ca="1"/>
        <v>60.81</v>
      </c>
      <c r="BE7" vm="541">
        <f ca="1"/>
        <v>62.08</v>
      </c>
      <c r="BF7" vm="542">
        <f ca="1"/>
        <v>62.21</v>
      </c>
      <c r="BG7" vm="543">
        <f ca="1"/>
        <v>62.24</v>
      </c>
      <c r="BH7" vm="544">
        <f ca="1"/>
        <v>62.95</v>
      </c>
      <c r="BI7" vm="545">
        <f ca="1"/>
        <v>63.11</v>
      </c>
      <c r="BJ7" vm="546">
        <f ca="1"/>
        <v>62.31</v>
      </c>
      <c r="BK7" vm="547">
        <f ca="1"/>
        <v>63.38</v>
      </c>
      <c r="BL7" vm="548">
        <f ca="1"/>
        <v>63.61</v>
      </c>
      <c r="BM7" vm="549">
        <f ca="1"/>
        <v>64.23</v>
      </c>
      <c r="BN7" vm="550">
        <f ca="1"/>
        <v>64.58</v>
      </c>
      <c r="BO7" vm="551">
        <f ca="1"/>
        <v>64.67</v>
      </c>
      <c r="BP7" vm="552">
        <f ca="1"/>
        <v>65.66</v>
      </c>
      <c r="BQ7" vm="553">
        <f ca="1"/>
        <v>65.72</v>
      </c>
      <c r="BR7" vm="554">
        <f ca="1"/>
        <v>64.319999999999993</v>
      </c>
      <c r="BS7" vm="555">
        <f ca="1"/>
        <v>67.05</v>
      </c>
      <c r="BT7" vm="556">
        <f ca="1"/>
        <v>66.400000000000006</v>
      </c>
      <c r="BU7" vm="557">
        <f ca="1"/>
        <v>68.260000000000005</v>
      </c>
      <c r="BV7" vm="558">
        <f ca="1"/>
        <v>69.45</v>
      </c>
      <c r="BW7" vm="559">
        <f ca="1"/>
        <v>69.489999999999995</v>
      </c>
      <c r="BX7" vm="560">
        <f ca="1"/>
        <v>70.13</v>
      </c>
      <c r="BY7" vm="561">
        <f ca="1"/>
        <v>70.94</v>
      </c>
      <c r="BZ7" vm="562">
        <f ca="1"/>
        <v>70.099999999999994</v>
      </c>
      <c r="CA7" vm="563">
        <f ca="1"/>
        <v>69.95</v>
      </c>
      <c r="CB7" vm="564">
        <f ca="1"/>
        <v>69.83</v>
      </c>
      <c r="CC7" vm="565">
        <f ca="1"/>
        <v>71.09</v>
      </c>
      <c r="CD7" vm="566">
        <f ca="1"/>
        <v>70.3</v>
      </c>
      <c r="CE7" vm="567">
        <f ca="1"/>
        <v>70.87</v>
      </c>
      <c r="CF7" vm="568">
        <f ca="1"/>
        <v>71.12</v>
      </c>
      <c r="CG7" vm="569">
        <f ca="1"/>
        <v>71.08</v>
      </c>
      <c r="CH7" vm="570">
        <f ca="1"/>
        <v>72.11</v>
      </c>
      <c r="CI7" vm="571">
        <f ca="1"/>
        <v>72.72</v>
      </c>
      <c r="CJ7" vm="572">
        <f ca="1"/>
        <v>72.61</v>
      </c>
      <c r="CK7" vm="573">
        <f ca="1"/>
        <v>72.86</v>
      </c>
      <c r="CL7" vm="574">
        <f ca="1"/>
        <v>74.02</v>
      </c>
      <c r="CM7" vm="575">
        <f ca="1"/>
        <v>71.69</v>
      </c>
      <c r="CN7" vm="576">
        <f ca="1"/>
        <v>74.66</v>
      </c>
      <c r="CO7" vm="577">
        <f ca="1"/>
        <v>77.17</v>
      </c>
      <c r="CP7" vm="578">
        <f ca="1"/>
        <v>76.569999999999993</v>
      </c>
      <c r="CQ7" vm="579">
        <f ca="1"/>
        <v>74.44</v>
      </c>
      <c r="CR7" vm="580">
        <f ca="1"/>
        <v>72.959999999999994</v>
      </c>
      <c r="CS7" vm="581">
        <f ca="1"/>
        <v>73.69</v>
      </c>
      <c r="CT7" vm="582">
        <f ca="1"/>
        <v>73.55</v>
      </c>
      <c r="CU7" vm="583">
        <f ca="1"/>
        <v>75.72</v>
      </c>
      <c r="CV7" vm="584">
        <f ca="1"/>
        <v>77.91</v>
      </c>
      <c r="CW7" vm="585">
        <f ca="1"/>
        <v>80.209999999999994</v>
      </c>
      <c r="CX7" vm="586">
        <f ca="1"/>
        <v>80.86</v>
      </c>
      <c r="CY7" vm="587">
        <f ca="1"/>
        <v>79.05</v>
      </c>
      <c r="CZ7" vm="588">
        <f ca="1"/>
        <v>79.72</v>
      </c>
      <c r="DA7" vm="589">
        <f ca="1"/>
        <v>79.430000000000007</v>
      </c>
      <c r="DB7" vm="590">
        <f ca="1"/>
        <v>81.58</v>
      </c>
      <c r="DC7" vm="591">
        <f ca="1"/>
        <v>80.400000000000006</v>
      </c>
      <c r="DD7" vm="592">
        <f ca="1"/>
        <v>79.67</v>
      </c>
      <c r="DE7" vm="593">
        <f ca="1"/>
        <v>78.55</v>
      </c>
      <c r="DF7" vm="594">
        <f ca="1"/>
        <v>76.91</v>
      </c>
      <c r="DG7" vm="595">
        <f ca="1"/>
        <v>78.489999999999995</v>
      </c>
      <c r="DH7" vm="596">
        <f ca="1"/>
        <v>77.75</v>
      </c>
      <c r="DI7" vm="597">
        <f ca="1"/>
        <v>73.7</v>
      </c>
      <c r="DJ7" vm="598">
        <f ca="1"/>
        <v>68.67</v>
      </c>
      <c r="DK7" vm="599">
        <f ca="1"/>
        <v>66.099999999999994</v>
      </c>
      <c r="DL7" vm="600">
        <f ca="1"/>
        <v>66.19</v>
      </c>
      <c r="DM7" vm="601">
        <f ca="1"/>
        <v>63.78</v>
      </c>
      <c r="DN7" vm="602">
        <f ca="1"/>
        <v>67.23</v>
      </c>
      <c r="DO7" vm="603">
        <f ca="1"/>
        <v>65.61</v>
      </c>
      <c r="DP7" vm="604">
        <f ca="1"/>
        <v>68.5</v>
      </c>
      <c r="DQ7" vm="605">
        <f ca="1"/>
        <v>70.58</v>
      </c>
      <c r="DR7" vm="606">
        <f ca="1"/>
        <v>71.58</v>
      </c>
      <c r="DS7" vm="607">
        <f ca="1"/>
        <v>70.739999999999995</v>
      </c>
      <c r="DT7" vm="608">
        <f ca="1"/>
        <v>71.62</v>
      </c>
      <c r="DU7" vm="609">
        <f ca="1"/>
        <v>73.819999999999993</v>
      </c>
      <c r="DV7" vm="610">
        <f ca="1"/>
        <v>72.23</v>
      </c>
      <c r="DW7" vm="611">
        <f ca="1"/>
        <v>72.81</v>
      </c>
      <c r="DX7" vm="612">
        <f ca="1"/>
        <v>74.099999999999994</v>
      </c>
      <c r="DY7" vm="613">
        <f ca="1"/>
        <v>74.8</v>
      </c>
      <c r="DZ7" vm="614">
        <f ca="1"/>
        <v>74.290000000000006</v>
      </c>
      <c r="EA7" vm="615">
        <f ca="1"/>
        <v>76.36</v>
      </c>
      <c r="EB7" vm="615">
        <f ca="1"/>
        <v>76.36</v>
      </c>
      <c r="EC7" vm="616">
        <f ca="1"/>
        <v>76</v>
      </c>
      <c r="ED7" vm="617">
        <f ca="1"/>
        <v>76.02</v>
      </c>
      <c r="EE7" vm="618">
        <f ca="1"/>
        <v>77</v>
      </c>
      <c r="EF7" vm="619">
        <f ca="1"/>
        <v>77.5</v>
      </c>
      <c r="EG7" vm="587">
        <f ca="1"/>
        <v>79.05</v>
      </c>
      <c r="EH7" vm="620">
        <f ca="1"/>
        <v>79.08</v>
      </c>
      <c r="EI7" vm="621">
        <f ca="1"/>
        <v>79.92</v>
      </c>
      <c r="EJ7" vm="622">
        <f ca="1"/>
        <v>79.599999999999994</v>
      </c>
      <c r="EK7" vm="623">
        <f ca="1"/>
        <v>79.39</v>
      </c>
      <c r="EL7" vm="624">
        <f ca="1"/>
        <v>77.150000000000006</v>
      </c>
      <c r="EM7" vm="625">
        <f ca="1"/>
        <v>77.64</v>
      </c>
      <c r="EN7" vm="626">
        <f ca="1"/>
        <v>77.94</v>
      </c>
      <c r="EO7" vm="619">
        <f ca="1"/>
        <v>77.5</v>
      </c>
      <c r="EP7" vm="627">
        <f ca="1"/>
        <v>75.84</v>
      </c>
      <c r="EQ7" vm="628">
        <f ca="1"/>
        <v>77.22</v>
      </c>
      <c r="ER7" vm="629">
        <f ca="1"/>
        <v>77.42</v>
      </c>
      <c r="ES7" vm="630">
        <f ca="1"/>
        <v>76.58</v>
      </c>
      <c r="ET7" vm="631">
        <f ca="1"/>
        <v>76.83</v>
      </c>
      <c r="EU7" vm="632">
        <f ca="1"/>
        <v>77.14</v>
      </c>
      <c r="EV7" vm="633">
        <f ca="1"/>
        <v>76.709999999999994</v>
      </c>
      <c r="EW7" vm="628">
        <f ca="1"/>
        <v>77.22</v>
      </c>
      <c r="EX7" vm="634">
        <f ca="1"/>
        <v>76.64</v>
      </c>
      <c r="EY7" vm="619">
        <f ca="1"/>
        <v>77.5</v>
      </c>
      <c r="EZ7" vm="635">
        <f ca="1"/>
        <v>78.14</v>
      </c>
      <c r="FA7" vm="595">
        <f ca="1"/>
        <v>78.489999999999995</v>
      </c>
      <c r="FB7" vm="636">
        <f ca="1"/>
        <v>76.290000000000006</v>
      </c>
      <c r="FC7" vm="637">
        <f ca="1"/>
        <v>76.22</v>
      </c>
      <c r="FD7" vm="638">
        <f ca="1"/>
        <v>76.48</v>
      </c>
      <c r="FE7" vm="639">
        <f ca="1"/>
        <v>75.28</v>
      </c>
      <c r="FF7" vm="619">
        <f ca="1"/>
        <v>77.5</v>
      </c>
      <c r="FG7" vm="640">
        <f ca="1"/>
        <v>75.97</v>
      </c>
      <c r="FH7" vm="578">
        <f ca="1"/>
        <v>76.569999999999993</v>
      </c>
      <c r="FI7" vm="641">
        <f ca="1"/>
        <v>74.64</v>
      </c>
      <c r="FJ7" vm="642">
        <f ca="1"/>
        <v>74.3</v>
      </c>
      <c r="FK7" vm="643">
        <f ca="1"/>
        <v>73.08</v>
      </c>
      <c r="FL7" vm="644">
        <f ca="1"/>
        <v>75.38</v>
      </c>
      <c r="FM7" vm="645">
        <f ca="1"/>
        <v>75.209999999999994</v>
      </c>
      <c r="FN7" vm="646">
        <f ca="1"/>
        <v>75.27</v>
      </c>
      <c r="FO7" vm="647">
        <f ca="1"/>
        <v>76.900000000000006</v>
      </c>
      <c r="FP7" vm="648">
        <f ca="1"/>
        <v>76.319999999999993</v>
      </c>
      <c r="FQ7" vm="649">
        <f ca="1"/>
        <v>75.2</v>
      </c>
      <c r="FR7" vm="650">
        <f ca="1"/>
        <v>76.63</v>
      </c>
      <c r="FS7" vm="630">
        <f ca="1"/>
        <v>76.58</v>
      </c>
      <c r="FT7" vm="651">
        <f ca="1"/>
        <v>74.88</v>
      </c>
      <c r="FU7" vm="652">
        <f ca="1"/>
        <v>75.94</v>
      </c>
      <c r="FV7" vm="653">
        <f ca="1"/>
        <v>76.41</v>
      </c>
      <c r="FW7" vm="654">
        <f ca="1"/>
        <v>78.87</v>
      </c>
      <c r="FX7" vm="584">
        <f ca="1"/>
        <v>77.91</v>
      </c>
      <c r="FY7" vm="655">
        <f ca="1"/>
        <v>76.599999999999994</v>
      </c>
      <c r="FZ7" vm="656">
        <f ca="1"/>
        <v>76.680000000000007</v>
      </c>
      <c r="GA7" vm="657">
        <f ca="1"/>
        <v>76.23</v>
      </c>
      <c r="GB7" vm="658">
        <f ca="1"/>
        <v>76.08</v>
      </c>
      <c r="GC7" vm="624">
        <f ca="1"/>
        <v>77.150000000000006</v>
      </c>
      <c r="GD7" vm="659">
        <f ca="1"/>
        <v>77.84</v>
      </c>
      <c r="GE7" vm="660">
        <f ca="1"/>
        <v>77.739999999999995</v>
      </c>
      <c r="GF7" vm="661">
        <f ca="1"/>
        <v>77.08</v>
      </c>
      <c r="GG7" vm="662">
        <f ca="1"/>
        <v>78.48</v>
      </c>
      <c r="GH7" vm="663">
        <f ca="1"/>
        <v>78.790000000000006</v>
      </c>
      <c r="GI7" vm="654">
        <f ca="1"/>
        <v>78.87</v>
      </c>
      <c r="GJ7" vm="664">
        <f ca="1"/>
        <v>77.38</v>
      </c>
      <c r="GK7" vm="662">
        <f ca="1"/>
        <v>78.48</v>
      </c>
      <c r="GL7" vm="665">
        <f ca="1"/>
        <v>79.069999999999993</v>
      </c>
      <c r="GM7" vm="666">
        <f ca="1"/>
        <v>80.06</v>
      </c>
      <c r="GN7" vm="667">
        <f ca="1"/>
        <v>76.53</v>
      </c>
      <c r="GO7" vm="668">
        <f ca="1"/>
        <v>78.5</v>
      </c>
      <c r="GP7" vm="669">
        <f ca="1"/>
        <v>78.38</v>
      </c>
      <c r="GQ7" vm="670">
        <f ca="1"/>
        <v>79.3</v>
      </c>
      <c r="GR7" vm="671">
        <f ca="1"/>
        <v>79.5</v>
      </c>
      <c r="GS7" vm="672">
        <f ca="1"/>
        <v>81.5</v>
      </c>
      <c r="GT7" vm="673">
        <f ca="1"/>
        <v>81.55</v>
      </c>
      <c r="GU7" vm="674">
        <f ca="1"/>
        <v>81.75</v>
      </c>
      <c r="GV7" vm="675">
        <f ca="1"/>
        <v>82.94</v>
      </c>
      <c r="GW7" vm="676">
        <f ca="1"/>
        <v>83.94</v>
      </c>
      <c r="GX7" vm="677">
        <f ca="1"/>
        <v>83.7</v>
      </c>
      <c r="GY7" vm="678">
        <f ca="1"/>
        <v>82.29</v>
      </c>
      <c r="GZ7" vm="679">
        <f ca="1"/>
        <v>82.86</v>
      </c>
      <c r="HA7" vm="680">
        <f ca="1"/>
        <v>83.31</v>
      </c>
      <c r="HB7" vm="681">
        <f ca="1"/>
        <v>82.72</v>
      </c>
      <c r="HC7" vm="682">
        <f ca="1"/>
        <v>83.38</v>
      </c>
      <c r="HD7" vm="683">
        <f ca="1"/>
        <v>80.430000000000007</v>
      </c>
      <c r="HE7" vm="684">
        <f ca="1"/>
        <v>77.03</v>
      </c>
      <c r="HF7" vm="667">
        <f ca="1"/>
        <v>76.53</v>
      </c>
      <c r="HG7" vm="647">
        <f ca="1"/>
        <v>76.900000000000006</v>
      </c>
      <c r="HH7" vm="631">
        <f ca="1"/>
        <v>76.83</v>
      </c>
      <c r="HI7" vm="685">
        <f ca="1"/>
        <v>77.05</v>
      </c>
      <c r="HJ7" vm="652">
        <f ca="1"/>
        <v>75.94</v>
      </c>
      <c r="HK7" vm="686">
        <f ca="1"/>
        <v>76.19</v>
      </c>
      <c r="HL7" vm="687">
        <f ca="1"/>
        <v>77.56</v>
      </c>
      <c r="HM7" vm="688">
        <f ca="1"/>
        <v>76.52</v>
      </c>
      <c r="HN7" vm="689">
        <f ca="1"/>
        <v>76.7</v>
      </c>
      <c r="HO7" vm="690">
        <f ca="1"/>
        <v>77.87</v>
      </c>
      <c r="HP7" vm="691">
        <f ca="1"/>
        <v>78.16</v>
      </c>
      <c r="HQ7" vm="692">
        <f ca="1"/>
        <v>79.41</v>
      </c>
      <c r="HR7" vm="670">
        <f ca="1"/>
        <v>79.3</v>
      </c>
      <c r="HS7" vm="693">
        <f ca="1"/>
        <v>80.33</v>
      </c>
      <c r="HT7" vm="694">
        <f ca="1"/>
        <v>79.17</v>
      </c>
      <c r="HU7" vm="695">
        <f ca="1"/>
        <v>77.67</v>
      </c>
      <c r="HV7" vm="696">
        <f ca="1"/>
        <v>78.39</v>
      </c>
      <c r="HW7" vm="622">
        <f ca="1"/>
        <v>79.599999999999994</v>
      </c>
      <c r="HX7" vm="697">
        <f ca="1"/>
        <v>78.680000000000007</v>
      </c>
      <c r="HY7" vm="698">
        <f ca="1"/>
        <v>78.930000000000007</v>
      </c>
      <c r="HZ7" vm="699">
        <f ca="1"/>
        <v>78.22</v>
      </c>
      <c r="IA7" vm="700">
        <f ca="1"/>
        <v>78.430000000000007</v>
      </c>
      <c r="IB7" vm="701">
        <f ca="1"/>
        <v>77.540000000000006</v>
      </c>
      <c r="IC7" vm="702">
        <f ca="1"/>
        <v>77.45</v>
      </c>
      <c r="ID7" vm="703">
        <f ca="1"/>
        <v>77.33</v>
      </c>
      <c r="IE7" vm="704">
        <f ca="1"/>
        <v>78.34</v>
      </c>
      <c r="IF7" vm="705">
        <f ca="1"/>
        <v>77.53</v>
      </c>
      <c r="IG7" vm="706">
        <f ca="1"/>
        <v>78</v>
      </c>
      <c r="IH7" vm="707">
        <f ca="1"/>
        <v>75.5</v>
      </c>
      <c r="II7" vm="708">
        <f ca="1"/>
        <v>74.63</v>
      </c>
      <c r="IJ7" vm="649">
        <f ca="1"/>
        <v>75.2</v>
      </c>
      <c r="IK7" vm="709">
        <f ca="1"/>
        <v>75.540000000000006</v>
      </c>
      <c r="IL7" vm="707">
        <f ca="1"/>
        <v>75.5</v>
      </c>
      <c r="IM7" vm="710">
        <f ca="1"/>
        <v>75.44</v>
      </c>
      <c r="IN7" vm="711">
        <f ca="1"/>
        <v>75.75</v>
      </c>
      <c r="IO7" vm="631">
        <f ca="1"/>
        <v>76.83</v>
      </c>
      <c r="IP7" vm="712">
        <f ca="1"/>
        <v>77.98</v>
      </c>
      <c r="IQ7" vm="713">
        <f ca="1"/>
        <v>74.89</v>
      </c>
      <c r="IR7" vm="714">
        <f ca="1"/>
        <v>69.099999999999994</v>
      </c>
      <c r="IS7" vm="715">
        <f ca="1"/>
        <v>67.930000000000007</v>
      </c>
      <c r="IT7" vm="716">
        <f ca="1"/>
        <v>68.37</v>
      </c>
      <c r="IU7" vm="717">
        <f ca="1"/>
        <v>68.72</v>
      </c>
      <c r="IV7" vm="718">
        <f ca="1"/>
        <v>68.48</v>
      </c>
      <c r="IW7" vm="719">
        <f ca="1"/>
        <v>69.19</v>
      </c>
      <c r="IX7" vm="720">
        <f ca="1"/>
        <v>66.739999999999995</v>
      </c>
      <c r="IY7" vm="721">
        <f ca="1"/>
        <v>66.94</v>
      </c>
      <c r="IZ7" vm="722">
        <f ca="1"/>
        <v>66.47</v>
      </c>
      <c r="JA7" vm="723">
        <f ca="1"/>
        <v>67.06</v>
      </c>
      <c r="JB7" vm="724">
        <f ca="1"/>
        <v>66</v>
      </c>
      <c r="JC7" vm="724">
        <f ca="1"/>
        <v>66</v>
      </c>
      <c r="JD7" vm="725">
        <f ca="1"/>
        <v>65.98</v>
      </c>
      <c r="JE7" vm="726">
        <f ca="1"/>
        <v>65.34</v>
      </c>
      <c r="JF7" vm="727">
        <f ca="1"/>
        <v>65.489999999999995</v>
      </c>
    </row>
    <row r="8" spans="1:266" ht="20" customHeight="1" x14ac:dyDescent="0.2">
      <c r="B8" t="e" vm="728">
        <v>#VALUE!</v>
      </c>
      <c r="C8" t="str">
        <f ca="1"/>
        <v>ETF</v>
      </c>
      <c r="D8" t="str">
        <f ca="1"/>
        <v>EUR</v>
      </c>
      <c r="E8">
        <v>0.35</v>
      </c>
      <c r="F8">
        <f ca="1"/>
        <v>67.245000000000005</v>
      </c>
      <c r="G8">
        <f ca="1"/>
        <v>23.53575</v>
      </c>
      <c r="H8" s="11" cm="1">
        <f t="array" aca="1" ref="H8" ca="1">(F8-IF(C8="USD",_FV( B8,"Clôture précédente",TRUE)*$K$4,_FV( B8,"Clôture précédente",TRUE)))*E8</f>
        <v>6.8250000000002586E-2</v>
      </c>
      <c r="I8" s="8" cm="1">
        <f t="array" aca="1" ref="I8" ca="1">(F8-_FV(B8,"Clôture précédente",TRUE))/_FV(B8,"Clôture précédente",TRUE)</f>
        <v>2.9082774049218104E-3</v>
      </c>
      <c r="J8" s="12">
        <f ca="1"/>
        <v>2.5357500000000002</v>
      </c>
      <c r="M8" cm="1" vm="729">
        <f t="array" aca="1" ref="M8:JD8" ca="1">TRANSPOSE(_xlfn.STOCKHISTORY(B8,TODAY()-365,TODAY(),0,0,1))</f>
        <v>47.75</v>
      </c>
      <c r="N8" vm="730">
        <f ca="1"/>
        <v>47.432000000000002</v>
      </c>
      <c r="O8" vm="731">
        <f ca="1"/>
        <v>47.368000000000002</v>
      </c>
      <c r="P8" vm="732">
        <f ca="1"/>
        <v>47.2</v>
      </c>
      <c r="Q8" vm="733">
        <f ca="1"/>
        <v>47.16</v>
      </c>
      <c r="R8" vm="734">
        <f ca="1"/>
        <v>47.734000000000002</v>
      </c>
      <c r="S8" vm="735">
        <f ca="1"/>
        <v>48.176000000000002</v>
      </c>
      <c r="T8" vm="736">
        <f ca="1"/>
        <v>48.713999999999999</v>
      </c>
      <c r="U8" vm="737">
        <f ca="1"/>
        <v>49.405999999999999</v>
      </c>
      <c r="V8" vm="738">
        <f ca="1"/>
        <v>50.424999999999997</v>
      </c>
      <c r="W8" vm="739">
        <f ca="1"/>
        <v>48.351999999999997</v>
      </c>
      <c r="X8" vm="740">
        <f ca="1"/>
        <v>48.542000000000002</v>
      </c>
      <c r="Y8" vm="741">
        <f ca="1"/>
        <v>48.393999999999998</v>
      </c>
      <c r="Z8" vm="742">
        <f ca="1"/>
        <v>48.5</v>
      </c>
      <c r="AA8" vm="743">
        <f ca="1"/>
        <v>48.735999999999997</v>
      </c>
      <c r="AB8" vm="744">
        <f ca="1"/>
        <v>48.69</v>
      </c>
      <c r="AC8" vm="745">
        <f ca="1"/>
        <v>48.67</v>
      </c>
      <c r="AD8" vm="746">
        <f ca="1"/>
        <v>48.78</v>
      </c>
      <c r="AE8" vm="747">
        <f ca="1"/>
        <v>48.194000000000003</v>
      </c>
      <c r="AF8" vm="748">
        <f ca="1"/>
        <v>48.41</v>
      </c>
      <c r="AG8" vm="749">
        <f ca="1"/>
        <v>48.844000000000001</v>
      </c>
      <c r="AH8" vm="750">
        <f ca="1"/>
        <v>49.585999999999999</v>
      </c>
      <c r="AI8" vm="751">
        <f ca="1"/>
        <v>50.21</v>
      </c>
      <c r="AJ8" vm="752">
        <f ca="1"/>
        <v>49.567999999999998</v>
      </c>
      <c r="AK8" vm="753">
        <f ca="1"/>
        <v>49.026000000000003</v>
      </c>
      <c r="AL8" vm="754">
        <f ca="1"/>
        <v>48.968000000000004</v>
      </c>
      <c r="AM8" vm="755">
        <f ca="1"/>
        <v>48.856000000000002</v>
      </c>
      <c r="AN8" vm="756">
        <f ca="1"/>
        <v>48.765999999999998</v>
      </c>
      <c r="AO8" vm="757">
        <f ca="1"/>
        <v>48.521999999999998</v>
      </c>
      <c r="AP8" vm="758">
        <f ca="1"/>
        <v>48.753999999999998</v>
      </c>
      <c r="AQ8" vm="759">
        <f ca="1"/>
        <v>48.62</v>
      </c>
      <c r="AR8" vm="760">
        <f ca="1"/>
        <v>48.63</v>
      </c>
      <c r="AS8" vm="761">
        <f ca="1"/>
        <v>48.728000000000002</v>
      </c>
      <c r="AT8" vm="762">
        <f ca="1"/>
        <v>50.164999999999999</v>
      </c>
      <c r="AU8" vm="763">
        <f ca="1"/>
        <v>49.7</v>
      </c>
      <c r="AV8" vm="764">
        <f ca="1"/>
        <v>49.228000000000002</v>
      </c>
      <c r="AW8" vm="765">
        <f ca="1"/>
        <v>49.545999999999999</v>
      </c>
      <c r="AX8" vm="766">
        <f ca="1"/>
        <v>49.932000000000002</v>
      </c>
      <c r="AY8" vm="767">
        <f ca="1"/>
        <v>50.255000000000003</v>
      </c>
      <c r="AZ8" vm="768">
        <f ca="1"/>
        <v>50.865000000000002</v>
      </c>
      <c r="BA8" vm="769">
        <f ca="1"/>
        <v>50.484999999999999</v>
      </c>
      <c r="BB8" vm="770">
        <f ca="1"/>
        <v>50.274999999999999</v>
      </c>
      <c r="BC8" vm="771">
        <f ca="1"/>
        <v>50.69</v>
      </c>
      <c r="BD8" vm="772">
        <f ca="1"/>
        <v>51.155000000000001</v>
      </c>
      <c r="BE8" vm="773">
        <f ca="1"/>
        <v>51.04</v>
      </c>
      <c r="BF8" vm="774">
        <f ca="1"/>
        <v>50.53</v>
      </c>
      <c r="BG8" vm="775">
        <f ca="1"/>
        <v>51.35</v>
      </c>
      <c r="BH8" vm="776">
        <f ca="1"/>
        <v>51.34</v>
      </c>
      <c r="BI8" vm="777">
        <f ca="1"/>
        <v>51.215000000000003</v>
      </c>
      <c r="BJ8" vm="778">
        <f ca="1"/>
        <v>51.14</v>
      </c>
      <c r="BK8" vm="779">
        <f ca="1"/>
        <v>50.59</v>
      </c>
      <c r="BL8" vm="780">
        <f ca="1"/>
        <v>51.414999999999999</v>
      </c>
      <c r="BM8" vm="781">
        <f ca="1"/>
        <v>51.274999999999999</v>
      </c>
      <c r="BN8" vm="782">
        <f ca="1"/>
        <v>52.21</v>
      </c>
      <c r="BO8" vm="783">
        <f ca="1"/>
        <v>52.465000000000003</v>
      </c>
      <c r="BP8" vm="784">
        <f ca="1"/>
        <v>53.274999999999999</v>
      </c>
      <c r="BQ8" vm="785">
        <f ca="1"/>
        <v>53.354999999999997</v>
      </c>
      <c r="BR8" vm="786">
        <f ca="1"/>
        <v>53.49</v>
      </c>
      <c r="BS8" vm="787">
        <f ca="1"/>
        <v>53.284999999999997</v>
      </c>
      <c r="BT8" vm="788">
        <f ca="1"/>
        <v>53.82</v>
      </c>
      <c r="BU8" vm="789">
        <f ca="1"/>
        <v>54.774999999999999</v>
      </c>
      <c r="BV8" vm="790">
        <f ca="1"/>
        <v>54.505000000000003</v>
      </c>
      <c r="BW8" vm="791">
        <f ca="1"/>
        <v>54.18</v>
      </c>
      <c r="BX8" vm="792">
        <f ca="1"/>
        <v>54.59</v>
      </c>
      <c r="BY8" vm="793">
        <f ca="1"/>
        <v>53.36</v>
      </c>
      <c r="BZ8" vm="794">
        <f ca="1"/>
        <v>53.685000000000002</v>
      </c>
      <c r="CA8" vm="790">
        <f ca="1"/>
        <v>54.505000000000003</v>
      </c>
      <c r="CB8" vm="795">
        <f ca="1"/>
        <v>54.784999999999997</v>
      </c>
      <c r="CC8" vm="796">
        <f ca="1"/>
        <v>54.405000000000001</v>
      </c>
      <c r="CD8" vm="797">
        <f ca="1"/>
        <v>54.615000000000002</v>
      </c>
      <c r="CE8" vm="798">
        <f ca="1"/>
        <v>54.594999999999999</v>
      </c>
      <c r="CF8" vm="799">
        <f ca="1"/>
        <v>53.75</v>
      </c>
      <c r="CG8" vm="800">
        <f ca="1"/>
        <v>53.94</v>
      </c>
      <c r="CH8" vm="801">
        <f ca="1"/>
        <v>53.66</v>
      </c>
      <c r="CI8" vm="802">
        <f ca="1"/>
        <v>53.204999999999998</v>
      </c>
      <c r="CJ8" vm="803">
        <f ca="1"/>
        <v>53.43</v>
      </c>
      <c r="CK8" vm="804">
        <f ca="1"/>
        <v>53.6</v>
      </c>
      <c r="CL8" vm="805">
        <f ca="1"/>
        <v>52.774999999999999</v>
      </c>
      <c r="CM8" vm="806">
        <f ca="1"/>
        <v>52.615000000000002</v>
      </c>
      <c r="CN8" vm="807">
        <f ca="1"/>
        <v>52.064999999999998</v>
      </c>
      <c r="CO8" vm="808">
        <f ca="1"/>
        <v>51.79</v>
      </c>
      <c r="CP8" vm="809">
        <f ca="1"/>
        <v>51.78</v>
      </c>
      <c r="CQ8" vm="810">
        <f ca="1"/>
        <v>52.484999999999999</v>
      </c>
      <c r="CR8" vm="811">
        <f ca="1"/>
        <v>53.33</v>
      </c>
      <c r="CS8" vm="812">
        <f ca="1"/>
        <v>53.405000000000001</v>
      </c>
      <c r="CT8" vm="813">
        <f ca="1"/>
        <v>53.344999999999999</v>
      </c>
      <c r="CU8" vm="814">
        <f ca="1"/>
        <v>53.865000000000002</v>
      </c>
      <c r="CV8" vm="815">
        <f ca="1"/>
        <v>54.24</v>
      </c>
      <c r="CW8" vm="816">
        <f ca="1"/>
        <v>54.45</v>
      </c>
      <c r="CX8" vm="791">
        <f ca="1"/>
        <v>54.18</v>
      </c>
      <c r="CY8" vm="817">
        <f ca="1"/>
        <v>54.06</v>
      </c>
      <c r="CZ8" vm="818">
        <f ca="1"/>
        <v>54.46</v>
      </c>
      <c r="DA8" vm="819">
        <f ca="1"/>
        <v>54.685000000000002</v>
      </c>
      <c r="DB8" vm="820">
        <f ca="1"/>
        <v>55.104999999999997</v>
      </c>
      <c r="DC8" vm="821">
        <f ca="1"/>
        <v>55.265000000000001</v>
      </c>
      <c r="DD8" vm="822">
        <f ca="1"/>
        <v>56.024999999999999</v>
      </c>
      <c r="DE8" vm="823">
        <f ca="1"/>
        <v>55.81</v>
      </c>
      <c r="DF8" vm="824">
        <f ca="1"/>
        <v>55.844999999999999</v>
      </c>
      <c r="DG8" vm="825">
        <f ca="1"/>
        <v>54.77</v>
      </c>
      <c r="DH8" vm="826">
        <f ca="1"/>
        <v>53.484999999999999</v>
      </c>
      <c r="DI8" vm="827">
        <f ca="1"/>
        <v>52.4</v>
      </c>
      <c r="DJ8" vm="828">
        <f ca="1"/>
        <v>53.1</v>
      </c>
      <c r="DK8" vm="829">
        <f ca="1"/>
        <v>54.055</v>
      </c>
      <c r="DL8" vm="830">
        <f ca="1"/>
        <v>54.914999999999999</v>
      </c>
      <c r="DM8" vm="831">
        <f ca="1"/>
        <v>55.3</v>
      </c>
      <c r="DN8" vm="832">
        <f ca="1"/>
        <v>55.295000000000002</v>
      </c>
      <c r="DO8" vm="833">
        <f ca="1"/>
        <v>55.494999999999997</v>
      </c>
      <c r="DP8" vm="834">
        <f ca="1"/>
        <v>56.625</v>
      </c>
      <c r="DQ8" vm="835">
        <f ca="1"/>
        <v>56.814999999999998</v>
      </c>
      <c r="DR8" vm="836">
        <f ca="1"/>
        <v>57.795000000000002</v>
      </c>
      <c r="DS8" vm="837">
        <f ca="1"/>
        <v>56.35</v>
      </c>
      <c r="DT8" vm="838">
        <f ca="1"/>
        <v>56.935000000000002</v>
      </c>
      <c r="DU8" vm="839">
        <f ca="1"/>
        <v>56.134999999999998</v>
      </c>
      <c r="DV8" vm="840">
        <f ca="1"/>
        <v>56.76</v>
      </c>
      <c r="DW8" vm="841">
        <f ca="1"/>
        <v>56.84</v>
      </c>
      <c r="DX8" vm="842">
        <f ca="1"/>
        <v>56.645000000000003</v>
      </c>
      <c r="DY8" vm="843">
        <f ca="1"/>
        <v>55.51</v>
      </c>
      <c r="DZ8" vm="844">
        <f ca="1"/>
        <v>56.884999999999998</v>
      </c>
      <c r="EA8" vm="845">
        <f ca="1"/>
        <v>58.32</v>
      </c>
      <c r="EB8" vm="846">
        <f ca="1"/>
        <v>57.954999999999998</v>
      </c>
      <c r="EC8" vm="847">
        <f ca="1"/>
        <v>57.21</v>
      </c>
      <c r="ED8" vm="848">
        <f ca="1"/>
        <v>57.5</v>
      </c>
      <c r="EE8" vm="849">
        <f ca="1"/>
        <v>56.72</v>
      </c>
      <c r="EF8" vm="850">
        <f ca="1"/>
        <v>56.39</v>
      </c>
      <c r="EG8" vm="851">
        <f ca="1"/>
        <v>55.22</v>
      </c>
      <c r="EH8" vm="852">
        <f ca="1"/>
        <v>55.965000000000003</v>
      </c>
      <c r="EI8" vm="510">
        <f ca="1"/>
        <v>55.63</v>
      </c>
      <c r="EJ8" vm="853">
        <f ca="1"/>
        <v>55.67</v>
      </c>
      <c r="EK8" vm="854">
        <f ca="1"/>
        <v>56.494999999999997</v>
      </c>
      <c r="EL8" vm="855">
        <f ca="1"/>
        <v>56.66</v>
      </c>
      <c r="EM8" vm="856">
        <f ca="1"/>
        <v>56.79</v>
      </c>
      <c r="EN8" vm="857">
        <f ca="1"/>
        <v>57.534999999999997</v>
      </c>
      <c r="EO8" vm="858">
        <f ca="1"/>
        <v>57.01</v>
      </c>
      <c r="EP8" vm="859">
        <f ca="1"/>
        <v>56.57</v>
      </c>
      <c r="EQ8" vm="860">
        <f ca="1"/>
        <v>56.67</v>
      </c>
      <c r="ER8" vm="861">
        <f ca="1"/>
        <v>56.725000000000001</v>
      </c>
      <c r="ES8" vm="862">
        <f ca="1"/>
        <v>56.255000000000003</v>
      </c>
      <c r="ET8" vm="848">
        <f ca="1"/>
        <v>57.5</v>
      </c>
      <c r="EU8" vm="863">
        <f ca="1"/>
        <v>57.23</v>
      </c>
      <c r="EV8" vm="864">
        <f ca="1"/>
        <v>57.42</v>
      </c>
      <c r="EW8" vm="507">
        <f ca="1"/>
        <v>56.92</v>
      </c>
      <c r="EX8" vm="512">
        <f ca="1"/>
        <v>56.64</v>
      </c>
      <c r="EY8" vm="865">
        <f ca="1"/>
        <v>56.674999999999997</v>
      </c>
      <c r="EZ8" vm="866">
        <f ca="1"/>
        <v>56.52</v>
      </c>
      <c r="FA8" vm="867">
        <f ca="1"/>
        <v>56.16</v>
      </c>
      <c r="FB8" vm="868">
        <f ca="1"/>
        <v>56.77</v>
      </c>
      <c r="FC8" vm="869">
        <f ca="1"/>
        <v>57.725000000000001</v>
      </c>
      <c r="FD8" vm="870">
        <f ca="1"/>
        <v>56.94</v>
      </c>
      <c r="FE8" vm="871">
        <f ca="1"/>
        <v>57.454999999999998</v>
      </c>
      <c r="FF8" vm="872">
        <f ca="1"/>
        <v>57.16</v>
      </c>
      <c r="FG8" vm="873">
        <f ca="1"/>
        <v>57.174999999999997</v>
      </c>
      <c r="FH8" vm="874">
        <f ca="1"/>
        <v>56.71</v>
      </c>
      <c r="FI8" vm="875">
        <f ca="1"/>
        <v>56.825000000000003</v>
      </c>
      <c r="FJ8" vm="876">
        <f ca="1"/>
        <v>55.435000000000002</v>
      </c>
      <c r="FK8" vm="877">
        <f ca="1"/>
        <v>55.534999999999997</v>
      </c>
      <c r="FL8" vm="878">
        <f ca="1"/>
        <v>55.225000000000001</v>
      </c>
      <c r="FM8" vm="879">
        <f ca="1"/>
        <v>54.284999999999997</v>
      </c>
      <c r="FN8" vm="796">
        <f ca="1"/>
        <v>54.405000000000001</v>
      </c>
      <c r="FO8" vm="880">
        <f ca="1"/>
        <v>55.024999999999999</v>
      </c>
      <c r="FP8" vm="881">
        <f ca="1"/>
        <v>55.055</v>
      </c>
      <c r="FQ8" vm="882">
        <f ca="1"/>
        <v>54.965000000000003</v>
      </c>
      <c r="FR8" vm="883">
        <f ca="1"/>
        <v>55.02</v>
      </c>
      <c r="FS8" vm="884">
        <f ca="1"/>
        <v>55.35</v>
      </c>
      <c r="FT8" vm="885">
        <f ca="1"/>
        <v>54.83</v>
      </c>
      <c r="FU8" vm="882">
        <f ca="1"/>
        <v>54.965000000000003</v>
      </c>
      <c r="FV8" vm="886">
        <f ca="1"/>
        <v>55.134999999999998</v>
      </c>
      <c r="FW8" vm="853">
        <f ca="1"/>
        <v>55.67</v>
      </c>
      <c r="FX8" vm="824">
        <f ca="1"/>
        <v>55.844999999999999</v>
      </c>
      <c r="FY8" vm="887">
        <f ca="1"/>
        <v>55.835000000000001</v>
      </c>
      <c r="FZ8" vm="888">
        <f ca="1"/>
        <v>55.884999999999998</v>
      </c>
      <c r="GA8" vm="889">
        <f ca="1"/>
        <v>55.984999999999999</v>
      </c>
      <c r="GB8" vm="890">
        <f ca="1"/>
        <v>56.02</v>
      </c>
      <c r="GC8" vm="891">
        <f ca="1"/>
        <v>56.36</v>
      </c>
      <c r="GD8" vm="892">
        <f ca="1"/>
        <v>56.69</v>
      </c>
      <c r="GE8" vm="889">
        <f ca="1"/>
        <v>55.984999999999999</v>
      </c>
      <c r="GF8" vm="510">
        <f ca="1"/>
        <v>55.63</v>
      </c>
      <c r="GG8" vm="893">
        <f ca="1"/>
        <v>55.19</v>
      </c>
      <c r="GH8" vm="894">
        <f ca="1"/>
        <v>55.384999999999998</v>
      </c>
      <c r="GI8" vm="895">
        <f ca="1"/>
        <v>55.945</v>
      </c>
      <c r="GJ8" vm="896">
        <f ca="1"/>
        <v>55.854999999999997</v>
      </c>
      <c r="GK8" vm="897">
        <f ca="1"/>
        <v>56.015000000000001</v>
      </c>
      <c r="GL8" vm="898">
        <f ca="1"/>
        <v>56.37</v>
      </c>
      <c r="GM8" vm="899">
        <f ca="1"/>
        <v>56.65</v>
      </c>
      <c r="GN8" vm="900">
        <f ca="1"/>
        <v>56.704999999999998</v>
      </c>
      <c r="GO8" vm="901">
        <f ca="1"/>
        <v>56.274999999999999</v>
      </c>
      <c r="GP8" vm="902">
        <f ca="1"/>
        <v>56.575000000000003</v>
      </c>
      <c r="GQ8" vm="903">
        <f ca="1"/>
        <v>56.505000000000003</v>
      </c>
      <c r="GR8" vm="904">
        <f ca="1"/>
        <v>56.18</v>
      </c>
      <c r="GS8" vm="905">
        <f ca="1"/>
        <v>55.715000000000003</v>
      </c>
      <c r="GT8" vm="906">
        <f ca="1"/>
        <v>55.7</v>
      </c>
      <c r="GU8" vm="907">
        <f ca="1"/>
        <v>55.805</v>
      </c>
      <c r="GV8" vm="908">
        <f ca="1"/>
        <v>55.39</v>
      </c>
      <c r="GW8" vm="833">
        <f ca="1"/>
        <v>55.494999999999997</v>
      </c>
      <c r="GX8" vm="909">
        <f ca="1"/>
        <v>55.445</v>
      </c>
      <c r="GY8" vm="910">
        <f ca="1"/>
        <v>55.72</v>
      </c>
      <c r="GZ8" vm="887">
        <f ca="1"/>
        <v>55.835000000000001</v>
      </c>
      <c r="HA8" vm="911">
        <f ca="1"/>
        <v>55.82</v>
      </c>
      <c r="HB8" vm="912">
        <f ca="1"/>
        <v>56.24</v>
      </c>
      <c r="HC8" vm="913">
        <f ca="1"/>
        <v>56.59</v>
      </c>
      <c r="HD8" vm="914">
        <f ca="1"/>
        <v>56.7</v>
      </c>
      <c r="HE8" vm="915">
        <f ca="1"/>
        <v>56.81</v>
      </c>
      <c r="HF8" vm="916">
        <f ca="1"/>
        <v>57.195</v>
      </c>
      <c r="HG8" vm="917">
        <f ca="1"/>
        <v>57.734999999999999</v>
      </c>
      <c r="HH8" vm="918">
        <f ca="1"/>
        <v>59.255000000000003</v>
      </c>
      <c r="HI8" vm="919">
        <f ca="1"/>
        <v>59.61</v>
      </c>
      <c r="HJ8" vm="920">
        <f ca="1"/>
        <v>59.234999999999999</v>
      </c>
      <c r="HK8" vm="921">
        <f ca="1"/>
        <v>59.43</v>
      </c>
      <c r="HL8" vm="922">
        <f ca="1"/>
        <v>60.055</v>
      </c>
      <c r="HM8" vm="923">
        <f ca="1"/>
        <v>60.384999999999998</v>
      </c>
      <c r="HN8" vm="924">
        <f ca="1"/>
        <v>60.524999999999999</v>
      </c>
      <c r="HO8" vm="925">
        <f ca="1"/>
        <v>60.2</v>
      </c>
      <c r="HP8" vm="926">
        <f ca="1"/>
        <v>60.47</v>
      </c>
      <c r="HQ8" vm="927">
        <f ca="1"/>
        <v>60.774999999999999</v>
      </c>
      <c r="HR8" vm="928">
        <f ca="1"/>
        <v>60.54</v>
      </c>
      <c r="HS8" vm="929">
        <f ca="1"/>
        <v>60.395000000000003</v>
      </c>
      <c r="HT8" vm="518">
        <f ca="1"/>
        <v>60.06</v>
      </c>
      <c r="HU8" vm="930">
        <f ca="1"/>
        <v>60.8</v>
      </c>
      <c r="HV8" vm="931">
        <f ca="1"/>
        <v>61.76</v>
      </c>
      <c r="HW8" vm="932">
        <f ca="1"/>
        <v>62.25</v>
      </c>
      <c r="HX8" vm="933">
        <f ca="1"/>
        <v>61.82</v>
      </c>
      <c r="HY8" vm="934">
        <f ca="1"/>
        <v>62.335000000000001</v>
      </c>
      <c r="HZ8" vm="935">
        <f ca="1"/>
        <v>62.76</v>
      </c>
      <c r="IA8" vm="936">
        <f ca="1"/>
        <v>63.47</v>
      </c>
      <c r="IB8" vm="937">
        <f ca="1"/>
        <v>63.66</v>
      </c>
      <c r="IC8" vm="938">
        <f ca="1"/>
        <v>63.884999999999998</v>
      </c>
      <c r="ID8" vm="939">
        <f ca="1"/>
        <v>64.010000000000005</v>
      </c>
      <c r="IE8" vm="940">
        <f ca="1"/>
        <v>64.290000000000006</v>
      </c>
      <c r="IF8" vm="941">
        <f ca="1"/>
        <v>65.844999999999999</v>
      </c>
      <c r="IG8" vm="942">
        <f ca="1"/>
        <v>66.48</v>
      </c>
      <c r="IH8" vm="943">
        <f ca="1"/>
        <v>67.825000000000003</v>
      </c>
      <c r="II8" vm="944">
        <f ca="1"/>
        <v>66.814999999999998</v>
      </c>
      <c r="IJ8" vm="945">
        <f ca="1"/>
        <v>66.98</v>
      </c>
      <c r="IK8" vm="946">
        <f ca="1"/>
        <v>68.989999999999995</v>
      </c>
      <c r="IL8" vm="947">
        <f ca="1"/>
        <v>69.454999999999998</v>
      </c>
      <c r="IM8" vm="948">
        <f ca="1"/>
        <v>70.215000000000003</v>
      </c>
      <c r="IN8" vm="949">
        <f ca="1"/>
        <v>72.540000000000006</v>
      </c>
      <c r="IO8" vm="950">
        <f ca="1"/>
        <v>71.39</v>
      </c>
      <c r="IP8" vm="951">
        <f ca="1"/>
        <v>72.459999999999994</v>
      </c>
      <c r="IQ8" vm="952">
        <f ca="1"/>
        <v>68.290000000000006</v>
      </c>
      <c r="IR8" vm="953">
        <f ca="1"/>
        <v>68.215000000000003</v>
      </c>
      <c r="IS8" vm="954">
        <f ca="1"/>
        <v>69.34</v>
      </c>
      <c r="IT8" vm="955">
        <f ca="1"/>
        <v>68.805000000000007</v>
      </c>
      <c r="IU8" vm="956">
        <f ca="1"/>
        <v>66.83</v>
      </c>
      <c r="IV8" vm="957">
        <f ca="1"/>
        <v>65.77</v>
      </c>
      <c r="IW8" vm="958">
        <f ca="1"/>
        <v>66.504999999999995</v>
      </c>
      <c r="IX8" vm="959">
        <f ca="1"/>
        <v>67.174999999999997</v>
      </c>
      <c r="IY8" vm="960">
        <f ca="1"/>
        <v>67.58</v>
      </c>
      <c r="IZ8" vm="961">
        <f ca="1"/>
        <v>67.734999999999999</v>
      </c>
      <c r="JA8" vm="962">
        <f ca="1"/>
        <v>66.78</v>
      </c>
      <c r="JB8" vm="963">
        <f ca="1"/>
        <v>67.489999999999995</v>
      </c>
      <c r="JC8" vm="964">
        <f ca="1"/>
        <v>67.045000000000002</v>
      </c>
      <c r="JD8" vm="965">
        <f ca="1"/>
        <v>67.245000000000005</v>
      </c>
    </row>
    <row r="9" spans="1:266" ht="20" customHeight="1" x14ac:dyDescent="0.2">
      <c r="B9" t="e" vm="966">
        <v>#VALUE!</v>
      </c>
      <c r="C9" t="str">
        <f ca="1"/>
        <v>ETF</v>
      </c>
      <c r="D9" t="str">
        <f ca="1"/>
        <v>EUR</v>
      </c>
      <c r="E9">
        <v>0.72000000000000008</v>
      </c>
      <c r="F9">
        <f ca="1"/>
        <v>621.16</v>
      </c>
      <c r="G9">
        <f ca="1"/>
        <v>447.23520000000002</v>
      </c>
      <c r="H9" s="11" cm="1">
        <f t="array" aca="1" ref="H9" ca="1">(F9-IF(C9="USD",_FV( B9,"Clôture précédente",TRUE)*$K$4,_FV( B9,"Clôture précédente",TRUE)))*E9</f>
        <v>-2.9664000000000037</v>
      </c>
      <c r="I9" s="8" cm="1">
        <f t="array" aca="1" ref="I9" ca="1">(F9-_FV(B9,"Clôture précédente",TRUE))/_FV(B9,"Clôture précédente",TRUE)</f>
        <v>-6.589048106448319E-3</v>
      </c>
      <c r="J9" s="12">
        <f ca="1"/>
        <v>-9.7047999999999774</v>
      </c>
      <c r="M9" cm="1" vm="967">
        <f t="array" aca="1" ref="M9:JD9" ca="1">TRANSPOSE(_xlfn.STOCKHISTORY(B9,TODAY()-365,TODAY(),0,0,1))</f>
        <v>596.28</v>
      </c>
      <c r="N9" vm="968">
        <f ca="1"/>
        <v>598.36</v>
      </c>
      <c r="O9" vm="969">
        <f ca="1"/>
        <v>599.9</v>
      </c>
      <c r="P9" vm="970">
        <f ca="1"/>
        <v>599.6</v>
      </c>
      <c r="Q9" vm="971">
        <f ca="1"/>
        <v>590.44000000000005</v>
      </c>
      <c r="R9" vm="972">
        <f ca="1"/>
        <v>588.55999999999995</v>
      </c>
      <c r="S9" vm="973">
        <f ca="1"/>
        <v>591.5</v>
      </c>
      <c r="T9" vm="974">
        <f ca="1"/>
        <v>594.22</v>
      </c>
      <c r="U9" vm="975">
        <f ca="1"/>
        <v>602.55999999999995</v>
      </c>
      <c r="V9" vm="976">
        <f ca="1"/>
        <v>606.96</v>
      </c>
      <c r="W9" vm="977">
        <f ca="1"/>
        <v>604.48</v>
      </c>
      <c r="X9" vm="978">
        <f ca="1"/>
        <v>608.96</v>
      </c>
      <c r="Y9" vm="979">
        <f ca="1"/>
        <v>600.79999999999995</v>
      </c>
      <c r="Z9" vm="980">
        <f ca="1"/>
        <v>603.74</v>
      </c>
      <c r="AA9" vm="981">
        <f ca="1"/>
        <v>604.79999999999995</v>
      </c>
      <c r="AB9" vm="982">
        <f ca="1"/>
        <v>610.20000000000005</v>
      </c>
      <c r="AC9" vm="983">
        <f ca="1"/>
        <v>609.79999999999995</v>
      </c>
      <c r="AD9" vm="984">
        <f ca="1"/>
        <v>610.52</v>
      </c>
      <c r="AE9" vm="985">
        <f ca="1"/>
        <v>610.54</v>
      </c>
      <c r="AF9" vm="986">
        <f ca="1"/>
        <v>611.08000000000004</v>
      </c>
      <c r="AG9" vm="987">
        <f ca="1"/>
        <v>608.29999999999995</v>
      </c>
      <c r="AH9" vm="988">
        <f ca="1"/>
        <v>607.29999999999995</v>
      </c>
      <c r="AI9" vm="989">
        <f ca="1"/>
        <v>615.02</v>
      </c>
      <c r="AJ9" vm="990">
        <f ca="1"/>
        <v>613.29999999999995</v>
      </c>
      <c r="AK9" vm="991">
        <f ca="1"/>
        <v>611.38</v>
      </c>
      <c r="AL9" vm="992">
        <f ca="1"/>
        <v>614.16</v>
      </c>
      <c r="AM9" vm="993">
        <f ca="1"/>
        <v>610.91999999999996</v>
      </c>
      <c r="AN9" vm="994">
        <f ca="1"/>
        <v>603.58000000000004</v>
      </c>
      <c r="AO9" vm="995">
        <f ca="1"/>
        <v>603.98</v>
      </c>
      <c r="AP9" vm="996">
        <f ca="1"/>
        <v>605.62</v>
      </c>
      <c r="AQ9" vm="997">
        <f ca="1"/>
        <v>607.26</v>
      </c>
      <c r="AR9" vm="998">
        <f ca="1"/>
        <v>604.96</v>
      </c>
      <c r="AS9" vm="999">
        <f ca="1"/>
        <v>601.26</v>
      </c>
      <c r="AT9" vm="1000">
        <f ca="1"/>
        <v>602.76</v>
      </c>
      <c r="AU9" vm="1001">
        <f ca="1"/>
        <v>611.1</v>
      </c>
      <c r="AV9" vm="1002">
        <f ca="1"/>
        <v>611.48</v>
      </c>
      <c r="AW9" vm="1003">
        <f ca="1"/>
        <v>607.66</v>
      </c>
      <c r="AX9" vm="1004">
        <f ca="1"/>
        <v>607.64</v>
      </c>
      <c r="AY9" vm="1005">
        <f ca="1"/>
        <v>608.91999999999996</v>
      </c>
      <c r="AZ9" vm="1006">
        <f ca="1"/>
        <v>603.67999999999995</v>
      </c>
      <c r="BA9" vm="1007">
        <f ca="1"/>
        <v>603.96</v>
      </c>
      <c r="BB9" vm="1008">
        <f ca="1"/>
        <v>603.28</v>
      </c>
      <c r="BC9" vm="1009">
        <f ca="1"/>
        <v>613.54</v>
      </c>
      <c r="BD9" vm="1010">
        <f ca="1"/>
        <v>612.28</v>
      </c>
      <c r="BE9" vm="1011">
        <f ca="1"/>
        <v>620.04</v>
      </c>
      <c r="BF9" vm="1012">
        <f ca="1"/>
        <v>615.08000000000004</v>
      </c>
      <c r="BG9" vm="1013">
        <f ca="1"/>
        <v>615.48</v>
      </c>
      <c r="BH9" vm="1014">
        <f ca="1"/>
        <v>620.29999999999995</v>
      </c>
      <c r="BI9" vm="1015">
        <f ca="1"/>
        <v>621.22</v>
      </c>
      <c r="BJ9" vm="1016">
        <f ca="1"/>
        <v>617.08000000000004</v>
      </c>
      <c r="BK9" vm="1017">
        <f ca="1"/>
        <v>606.64</v>
      </c>
      <c r="BL9" vm="1018">
        <f ca="1"/>
        <v>618.02</v>
      </c>
      <c r="BM9" vm="1019">
        <f ca="1"/>
        <v>614.4</v>
      </c>
      <c r="BN9" vm="1020">
        <f ca="1"/>
        <v>617.96</v>
      </c>
      <c r="BO9" vm="1021">
        <f ca="1"/>
        <v>619.91999999999996</v>
      </c>
      <c r="BP9" vm="1022">
        <f ca="1"/>
        <v>619.96</v>
      </c>
      <c r="BQ9" vm="1023">
        <f ca="1"/>
        <v>617</v>
      </c>
      <c r="BR9" vm="1024">
        <f ca="1"/>
        <v>615.67999999999995</v>
      </c>
      <c r="BS9" vm="1025">
        <f ca="1"/>
        <v>620.44000000000005</v>
      </c>
      <c r="BT9" vm="1026">
        <f ca="1"/>
        <v>621.52</v>
      </c>
      <c r="BU9" vm="1027">
        <f ca="1"/>
        <v>624.26</v>
      </c>
      <c r="BV9" vm="1028">
        <f ca="1"/>
        <v>622.5</v>
      </c>
      <c r="BW9" vm="1029">
        <f ca="1"/>
        <v>618.52</v>
      </c>
      <c r="BX9" vm="1030">
        <f ca="1"/>
        <v>620.08000000000004</v>
      </c>
      <c r="BY9" vm="1031">
        <f ca="1"/>
        <v>617.91999999999996</v>
      </c>
      <c r="BZ9" vm="1032">
        <f ca="1"/>
        <v>621.08000000000004</v>
      </c>
      <c r="CA9" vm="1033">
        <f ca="1"/>
        <v>621.84</v>
      </c>
      <c r="CB9" vm="1034">
        <f ca="1"/>
        <v>626.14</v>
      </c>
      <c r="CC9" vm="1035">
        <f ca="1"/>
        <v>617.54</v>
      </c>
      <c r="CD9" vm="1036">
        <f ca="1"/>
        <v>613.28</v>
      </c>
      <c r="CE9" vm="1037">
        <f ca="1"/>
        <v>610.41999999999996</v>
      </c>
      <c r="CF9" vm="1038">
        <f ca="1"/>
        <v>602.36</v>
      </c>
      <c r="CG9" vm="1039">
        <f ca="1"/>
        <v>602.28</v>
      </c>
      <c r="CH9" vm="1040">
        <f ca="1"/>
        <v>600</v>
      </c>
      <c r="CI9" vm="1041">
        <f ca="1"/>
        <v>600.02</v>
      </c>
      <c r="CJ9" vm="1042">
        <f ca="1"/>
        <v>591.82000000000005</v>
      </c>
      <c r="CK9" vm="1043">
        <f ca="1"/>
        <v>583.41999999999996</v>
      </c>
      <c r="CL9" vm="1044">
        <f ca="1"/>
        <v>575.96</v>
      </c>
      <c r="CM9" vm="1045">
        <f ca="1"/>
        <v>564.58000000000004</v>
      </c>
      <c r="CN9" vm="1046">
        <f ca="1"/>
        <v>565.24</v>
      </c>
      <c r="CO9" vm="1047">
        <f ca="1"/>
        <v>551.34</v>
      </c>
      <c r="CP9" vm="1048">
        <f ca="1"/>
        <v>544.20000000000005</v>
      </c>
      <c r="CQ9" vm="1049">
        <f ca="1"/>
        <v>545.72</v>
      </c>
      <c r="CR9" vm="1050">
        <f ca="1"/>
        <v>540.58000000000004</v>
      </c>
      <c r="CS9" vm="1051">
        <f ca="1"/>
        <v>550.02</v>
      </c>
      <c r="CT9" vm="1052">
        <f ca="1"/>
        <v>552.62</v>
      </c>
      <c r="CU9" vm="1053">
        <f ca="1"/>
        <v>546.08000000000004</v>
      </c>
      <c r="CV9" vm="1054">
        <f ca="1"/>
        <v>553.94000000000005</v>
      </c>
      <c r="CW9" vm="1055">
        <f ca="1"/>
        <v>553.88</v>
      </c>
      <c r="CX9" vm="1056">
        <f ca="1"/>
        <v>554.94000000000005</v>
      </c>
      <c r="CY9" vm="1057">
        <f ca="1"/>
        <v>566.17999999999995</v>
      </c>
      <c r="CZ9" vm="1058">
        <f ca="1"/>
        <v>569.62</v>
      </c>
      <c r="DA9" vm="1059">
        <f ca="1"/>
        <v>564.34</v>
      </c>
      <c r="DB9" vm="1060">
        <f ca="1"/>
        <v>562.1</v>
      </c>
      <c r="DC9" vm="1061">
        <f ca="1"/>
        <v>548</v>
      </c>
      <c r="DD9" vm="1062">
        <f ca="1"/>
        <v>549.91999999999996</v>
      </c>
      <c r="DE9" vm="1063">
        <f ca="1"/>
        <v>552.96</v>
      </c>
      <c r="DF9" vm="1064">
        <f ca="1"/>
        <v>552.55999999999995</v>
      </c>
      <c r="DG9" vm="1065">
        <f ca="1"/>
        <v>521.46</v>
      </c>
      <c r="DH9" vm="1066">
        <f ca="1"/>
        <v>498.32</v>
      </c>
      <c r="DI9" vm="1067">
        <f ca="1"/>
        <v>495.52</v>
      </c>
      <c r="DJ9" vm="1068">
        <f ca="1"/>
        <v>483.06</v>
      </c>
      <c r="DK9" vm="1069">
        <f ca="1"/>
        <v>532.32000000000005</v>
      </c>
      <c r="DL9" vm="1070">
        <f ca="1"/>
        <v>500.3</v>
      </c>
      <c r="DM9" vm="1071">
        <f ca="1"/>
        <v>502.84</v>
      </c>
      <c r="DN9" vm="1072">
        <f ca="1"/>
        <v>507.88</v>
      </c>
      <c r="DO9" vm="1073">
        <f ca="1"/>
        <v>509.84</v>
      </c>
      <c r="DP9" vm="1074">
        <f ca="1"/>
        <v>497.58</v>
      </c>
      <c r="DQ9" vm="1075">
        <f ca="1"/>
        <v>498.87</v>
      </c>
      <c r="DR9" vm="1076">
        <f ca="1"/>
        <v>487.83</v>
      </c>
      <c r="DS9" vm="1077">
        <f ca="1"/>
        <v>503.66</v>
      </c>
      <c r="DT9" vm="1078">
        <f ca="1"/>
        <v>511.94</v>
      </c>
      <c r="DU9" vm="1079">
        <f ca="1"/>
        <v>516.82000000000005</v>
      </c>
      <c r="DV9" vm="1080">
        <f ca="1"/>
        <v>515.88</v>
      </c>
      <c r="DW9" vm="1081">
        <f ca="1"/>
        <v>517.55999999999995</v>
      </c>
      <c r="DX9" vm="1082">
        <f ca="1"/>
        <v>518.05999999999995</v>
      </c>
      <c r="DY9" vm="1083">
        <f ca="1"/>
        <v>534.26</v>
      </c>
      <c r="DZ9" vm="1084">
        <f ca="1"/>
        <v>534.46</v>
      </c>
      <c r="EA9" vm="1085">
        <f ca="1"/>
        <v>524.34</v>
      </c>
      <c r="EB9" vm="1086">
        <f ca="1"/>
        <v>527.79999999999995</v>
      </c>
      <c r="EC9" vm="1087">
        <f ca="1"/>
        <v>541.24</v>
      </c>
      <c r="ED9" vm="1088">
        <f ca="1"/>
        <v>534.58000000000004</v>
      </c>
      <c r="EE9" vm="1089">
        <f ca="1"/>
        <v>560.29999999999995</v>
      </c>
      <c r="EF9" vm="1090">
        <f ca="1"/>
        <v>561.55999999999995</v>
      </c>
      <c r="EG9" vm="1091">
        <f ca="1"/>
        <v>560.76</v>
      </c>
      <c r="EH9" vm="1092">
        <f ca="1"/>
        <v>563.94000000000005</v>
      </c>
      <c r="EI9" vm="1093">
        <f ca="1"/>
        <v>568.08000000000004</v>
      </c>
      <c r="EJ9" vm="1094">
        <f ca="1"/>
        <v>565.54</v>
      </c>
      <c r="EK9" vm="1095">
        <f ca="1"/>
        <v>562.22</v>
      </c>
      <c r="EL9" vm="1096">
        <f ca="1"/>
        <v>548.66</v>
      </c>
      <c r="EM9" vm="1097">
        <f ca="1"/>
        <v>554</v>
      </c>
      <c r="EN9" vm="1098">
        <f ca="1"/>
        <v>544.98</v>
      </c>
      <c r="EO9" vm="1099">
        <f ca="1"/>
        <v>549.94000000000005</v>
      </c>
      <c r="EP9" vm="1100">
        <f ca="1"/>
        <v>555.54</v>
      </c>
      <c r="EQ9" vm="1101">
        <f ca="1"/>
        <v>557.46</v>
      </c>
      <c r="ER9" vm="1102">
        <f ca="1"/>
        <v>553.54</v>
      </c>
      <c r="ES9" vm="1103">
        <f ca="1"/>
        <v>550.38</v>
      </c>
      <c r="ET9" vm="1104">
        <f ca="1"/>
        <v>552.29999999999995</v>
      </c>
      <c r="EU9" vm="1105">
        <f ca="1"/>
        <v>559.72</v>
      </c>
      <c r="EV9" vm="1106">
        <f ca="1"/>
        <v>557.52</v>
      </c>
      <c r="EW9" vm="1107">
        <f ca="1"/>
        <v>556.17999999999995</v>
      </c>
      <c r="EX9" vm="1108">
        <f ca="1"/>
        <v>560.64</v>
      </c>
      <c r="EY9" vm="1109">
        <f ca="1"/>
        <v>561.05999999999995</v>
      </c>
      <c r="EZ9" vm="1110">
        <f ca="1"/>
        <v>562.58000000000004</v>
      </c>
      <c r="FA9" vm="1111">
        <f ca="1"/>
        <v>559.34</v>
      </c>
      <c r="FB9" vm="1112">
        <f ca="1"/>
        <v>556.22</v>
      </c>
      <c r="FC9" vm="1113">
        <f ca="1"/>
        <v>554.05999999999995</v>
      </c>
      <c r="FD9" vm="1114">
        <f ca="1"/>
        <v>555.94000000000005</v>
      </c>
      <c r="FE9" vm="1115">
        <f ca="1"/>
        <v>555.96</v>
      </c>
      <c r="FF9" vm="1116">
        <f ca="1"/>
        <v>555.48</v>
      </c>
      <c r="FG9" vm="1117">
        <f ca="1"/>
        <v>551.76</v>
      </c>
      <c r="FH9" vm="1118">
        <f ca="1"/>
        <v>551.64</v>
      </c>
      <c r="FI9" vm="1119">
        <f ca="1"/>
        <v>554.41999999999996</v>
      </c>
      <c r="FJ9" vm="1120">
        <f ca="1"/>
        <v>559.91999999999996</v>
      </c>
      <c r="FK9" vm="1121">
        <f ca="1"/>
        <v>558.12</v>
      </c>
      <c r="FL9" vm="1122">
        <f ca="1"/>
        <v>557.84</v>
      </c>
      <c r="FM9" vm="1123">
        <f ca="1"/>
        <v>562.17999999999995</v>
      </c>
      <c r="FN9" vm="1124">
        <f ca="1"/>
        <v>560.24</v>
      </c>
      <c r="FO9" vm="1125">
        <f ca="1"/>
        <v>561.67999999999995</v>
      </c>
      <c r="FP9" vm="1126">
        <f ca="1"/>
        <v>562.02</v>
      </c>
      <c r="FQ9" vm="1127">
        <f ca="1"/>
        <v>568.79999999999995</v>
      </c>
      <c r="FR9" vm="1128">
        <f ca="1"/>
        <v>564.79999999999995</v>
      </c>
      <c r="FS9" vm="1129">
        <f ca="1"/>
        <v>566.86</v>
      </c>
      <c r="FT9" vm="1130">
        <f ca="1"/>
        <v>566.62</v>
      </c>
      <c r="FU9" vm="1131">
        <f ca="1"/>
        <v>569.17999999999995</v>
      </c>
      <c r="FV9" vm="1132">
        <f ca="1"/>
        <v>573.48</v>
      </c>
      <c r="FW9" vm="1133">
        <f ca="1"/>
        <v>571.6</v>
      </c>
      <c r="FX9" vm="1134">
        <f ca="1"/>
        <v>572.96</v>
      </c>
      <c r="FY9" vm="1135">
        <f ca="1"/>
        <v>575</v>
      </c>
      <c r="FZ9" vm="1136">
        <f ca="1"/>
        <v>572.28</v>
      </c>
      <c r="GA9" vm="1137">
        <f ca="1"/>
        <v>579.14</v>
      </c>
      <c r="GB9" vm="1138">
        <f ca="1"/>
        <v>577.54</v>
      </c>
      <c r="GC9" vm="1139">
        <f ca="1"/>
        <v>578.05999999999995</v>
      </c>
      <c r="GD9" vm="1140">
        <f ca="1"/>
        <v>573</v>
      </c>
      <c r="GE9" vm="1141">
        <f ca="1"/>
        <v>575.79999999999995</v>
      </c>
      <c r="GF9" vm="1142">
        <f ca="1"/>
        <v>577.88</v>
      </c>
      <c r="GG9" vm="1143">
        <f ca="1"/>
        <v>581.14</v>
      </c>
      <c r="GH9" vm="1144">
        <f ca="1"/>
        <v>587.34</v>
      </c>
      <c r="GI9" vm="1145">
        <f ca="1"/>
        <v>589.12</v>
      </c>
      <c r="GJ9" vm="1146">
        <f ca="1"/>
        <v>593.08000000000004</v>
      </c>
      <c r="GK9" vm="1147">
        <f ca="1"/>
        <v>594.58000000000004</v>
      </c>
      <c r="GL9" vm="1148">
        <f ca="1"/>
        <v>576.64</v>
      </c>
      <c r="GM9" vm="1149">
        <f ca="1"/>
        <v>583.22</v>
      </c>
      <c r="GN9" vm="1150">
        <f ca="1"/>
        <v>581.34</v>
      </c>
      <c r="GO9" vm="1151">
        <f ca="1"/>
        <v>580.96</v>
      </c>
      <c r="GP9" vm="1152">
        <f ca="1"/>
        <v>579.66</v>
      </c>
      <c r="GQ9" vm="1153">
        <f ca="1"/>
        <v>585.08000000000004</v>
      </c>
      <c r="GR9" vm="1154">
        <f ca="1"/>
        <v>585.29999999999995</v>
      </c>
      <c r="GS9" vm="1155">
        <f ca="1"/>
        <v>588.98</v>
      </c>
      <c r="GT9" vm="1156">
        <f ca="1"/>
        <v>588.86</v>
      </c>
      <c r="GU9" vm="1146">
        <f ca="1"/>
        <v>593.08000000000004</v>
      </c>
      <c r="GV9" vm="1157">
        <f ca="1"/>
        <v>589.08000000000004</v>
      </c>
      <c r="GW9" vm="1158">
        <f ca="1"/>
        <v>589.58000000000004</v>
      </c>
      <c r="GX9" vm="1159">
        <f ca="1"/>
        <v>587.6</v>
      </c>
      <c r="GY9" vm="1160">
        <f ca="1"/>
        <v>585.96</v>
      </c>
      <c r="GZ9" vm="1161">
        <f ca="1"/>
        <v>584.32000000000005</v>
      </c>
      <c r="HA9" vm="1162">
        <f ca="1"/>
        <v>588.74</v>
      </c>
      <c r="HB9" vm="1163">
        <f ca="1"/>
        <v>593.05999999999995</v>
      </c>
      <c r="HC9" vm="1164">
        <f ca="1"/>
        <v>591.28</v>
      </c>
      <c r="HD9" vm="1165">
        <f ca="1"/>
        <v>594.38</v>
      </c>
      <c r="HE9" vm="1166">
        <f ca="1"/>
        <v>594.52</v>
      </c>
      <c r="HF9" vm="1167">
        <f ca="1"/>
        <v>588.9</v>
      </c>
      <c r="HG9" vm="1168">
        <f ca="1"/>
        <v>590.36</v>
      </c>
      <c r="HH9" vm="1169">
        <f ca="1"/>
        <v>586.34</v>
      </c>
      <c r="HI9" vm="1170">
        <f ca="1"/>
        <v>588.5</v>
      </c>
      <c r="HJ9" vm="1171">
        <f ca="1"/>
        <v>594.74</v>
      </c>
      <c r="HK9" vm="1167">
        <f ca="1"/>
        <v>588.9</v>
      </c>
      <c r="HL9" vm="1172">
        <f ca="1"/>
        <v>589.84</v>
      </c>
      <c r="HM9" vm="1173">
        <f ca="1"/>
        <v>592.86</v>
      </c>
      <c r="HN9" vm="1174">
        <f ca="1"/>
        <v>596.16</v>
      </c>
      <c r="HO9" vm="1175">
        <f ca="1"/>
        <v>599.34</v>
      </c>
      <c r="HP9" vm="1176">
        <f ca="1"/>
        <v>599.94000000000005</v>
      </c>
      <c r="HQ9" vm="1177">
        <f ca="1"/>
        <v>599.86</v>
      </c>
      <c r="HR9" vm="1178">
        <f ca="1"/>
        <v>594.84</v>
      </c>
      <c r="HS9" vm="1179">
        <f ca="1"/>
        <v>594.54</v>
      </c>
      <c r="HT9" vm="1180">
        <f ca="1"/>
        <v>601.44000000000005</v>
      </c>
      <c r="HU9" vm="1181">
        <f ca="1"/>
        <v>604.9</v>
      </c>
      <c r="HV9" vm="1182">
        <f ca="1"/>
        <v>606.38</v>
      </c>
      <c r="HW9" vm="1183">
        <f ca="1"/>
        <v>602.78</v>
      </c>
      <c r="HX9" vm="1184">
        <f ca="1"/>
        <v>604.38</v>
      </c>
      <c r="HY9" vm="1185">
        <f ca="1"/>
        <v>604.67999999999995</v>
      </c>
      <c r="HZ9" vm="1186">
        <f ca="1"/>
        <v>606.48</v>
      </c>
      <c r="IA9" vm="1187">
        <f ca="1"/>
        <v>606.6</v>
      </c>
      <c r="IB9" vm="1188">
        <f ca="1"/>
        <v>604.04</v>
      </c>
      <c r="IC9" vm="1189">
        <f ca="1"/>
        <v>611.02</v>
      </c>
      <c r="ID9" vm="1190">
        <f ca="1"/>
        <v>611.98</v>
      </c>
      <c r="IE9" vm="1191">
        <f ca="1"/>
        <v>611.86</v>
      </c>
      <c r="IF9" vm="1192">
        <f ca="1"/>
        <v>615.70000000000005</v>
      </c>
      <c r="IG9" vm="1193">
        <f ca="1"/>
        <v>615.66</v>
      </c>
      <c r="IH9" vm="1194">
        <f ca="1"/>
        <v>621.94000000000005</v>
      </c>
      <c r="II9" vm="1194">
        <f ca="1"/>
        <v>621.94000000000005</v>
      </c>
      <c r="IJ9" vm="1195">
        <f ca="1"/>
        <v>605</v>
      </c>
      <c r="IK9" vm="1196">
        <f ca="1"/>
        <v>614.62</v>
      </c>
      <c r="IL9" vm="1197">
        <f ca="1"/>
        <v>614.58000000000004</v>
      </c>
      <c r="IM9" vm="1198">
        <f ca="1"/>
        <v>609.74</v>
      </c>
      <c r="IN9" vm="1199">
        <f ca="1"/>
        <v>605.70000000000005</v>
      </c>
      <c r="IO9" vm="1200">
        <f ca="1"/>
        <v>608.16</v>
      </c>
      <c r="IP9" vm="1201">
        <f ca="1"/>
        <v>619.02</v>
      </c>
      <c r="IQ9" vm="1202">
        <f ca="1"/>
        <v>621.5</v>
      </c>
      <c r="IR9" vm="1203">
        <f ca="1"/>
        <v>617.26</v>
      </c>
      <c r="IS9" vm="1204">
        <f ca="1"/>
        <v>620.6</v>
      </c>
      <c r="IT9" vm="1205">
        <f ca="1"/>
        <v>625.74</v>
      </c>
      <c r="IU9" vm="1206">
        <f ca="1"/>
        <v>630.48</v>
      </c>
      <c r="IV9" vm="1207">
        <f ca="1"/>
        <v>632.67999999999995</v>
      </c>
      <c r="IW9" vm="1208">
        <f ca="1"/>
        <v>634.22</v>
      </c>
      <c r="IX9" vm="1209">
        <f ca="1"/>
        <v>633.05999999999995</v>
      </c>
      <c r="IY9" vm="1210">
        <f ca="1"/>
        <v>634.88</v>
      </c>
      <c r="IZ9" vm="1211">
        <f ca="1"/>
        <v>636.1</v>
      </c>
      <c r="JA9" vm="1212">
        <f ca="1"/>
        <v>631.82000000000005</v>
      </c>
      <c r="JB9" vm="1213">
        <f ca="1"/>
        <v>635.22</v>
      </c>
      <c r="JC9" vm="1214">
        <f ca="1"/>
        <v>625.28</v>
      </c>
      <c r="JD9" vm="1215">
        <f ca="1"/>
        <v>621.16</v>
      </c>
    </row>
    <row r="10" spans="1:266" ht="20" customHeight="1" x14ac:dyDescent="0.2">
      <c r="B10" t="e" vm="1216">
        <v>#VALUE!</v>
      </c>
      <c r="C10" t="str">
        <f ca="1"/>
        <v>Semiconductors &amp; Semiconductor Equipment</v>
      </c>
      <c r="D10" t="str">
        <f ca="1"/>
        <v>USD</v>
      </c>
      <c r="E10">
        <v>0.99999999999999989</v>
      </c>
      <c r="F10">
        <f ca="1"/>
        <v>188.15</v>
      </c>
      <c r="G10">
        <f ca="1"/>
        <v>188.14999999999998</v>
      </c>
      <c r="H10" s="11" cm="1">
        <f t="array" aca="1" ref="H10" ca="1">(F10-IF(C10="USD",_FV( B10,"Clôture précédente",TRUE)*$K$4,_FV( B10,"Clôture précédente",TRUE)))*E10</f>
        <v>6.9999999999993165E-2</v>
      </c>
      <c r="I10" s="8" cm="1">
        <f t="array" aca="1" ref="I10" ca="1">(F10-_FV(B10,"Clôture précédente",TRUE))/_FV(B10,"Clôture précédente",TRUE)</f>
        <v>3.721820501913716E-4</v>
      </c>
      <c r="J10" s="12">
        <f ca="1"/>
        <v>35.389999999999986</v>
      </c>
      <c r="M10" cm="1" vm="1217">
        <f t="array" aca="1" ref="M10:JA10" ca="1">TRANSPOSE(_xlfn.STOCKHISTORY(B10,TODAY()-365,TODAY(),0,0,1))</f>
        <v>145.26</v>
      </c>
      <c r="N10" vm="1218">
        <f ca="1"/>
        <v>148.29</v>
      </c>
      <c r="O10" vm="1219">
        <f ca="1"/>
        <v>146.27000000000001</v>
      </c>
      <c r="P10" vm="1220">
        <f ca="1"/>
        <v>146.76</v>
      </c>
      <c r="Q10" vm="1221">
        <f ca="1"/>
        <v>141.97999999999999</v>
      </c>
      <c r="R10" vm="1222">
        <f ca="1"/>
        <v>140.15</v>
      </c>
      <c r="S10" vm="1223">
        <f ca="1"/>
        <v>147.01</v>
      </c>
      <c r="T10" vm="1224">
        <f ca="1"/>
        <v>145.88999999999999</v>
      </c>
      <c r="U10" vm="1225">
        <f ca="1"/>
        <v>146.66999999999999</v>
      </c>
      <c r="V10" vm="1226">
        <f ca="1"/>
        <v>141.94999999999999</v>
      </c>
      <c r="W10" vm="1227">
        <f ca="1"/>
        <v>136.02000000000001</v>
      </c>
      <c r="X10" vm="1228">
        <f ca="1"/>
        <v>136.91999999999999</v>
      </c>
      <c r="Y10" vm="1229">
        <f ca="1"/>
        <v>135.34</v>
      </c>
      <c r="Z10" vm="1230">
        <f ca="1"/>
        <v>138.25</v>
      </c>
      <c r="AA10" vm="1231">
        <f ca="1"/>
        <v>138.63</v>
      </c>
      <c r="AB10" vm="1232">
        <f ca="1"/>
        <v>140.26</v>
      </c>
      <c r="AC10" vm="1233">
        <f ca="1"/>
        <v>145.13999999999999</v>
      </c>
      <c r="AD10" vm="1234">
        <f ca="1"/>
        <v>145.06</v>
      </c>
      <c r="AE10" vm="1235">
        <f ca="1"/>
        <v>142.44</v>
      </c>
      <c r="AF10" vm="1236">
        <f ca="1"/>
        <v>138.81</v>
      </c>
      <c r="AG10" vm="1237">
        <f ca="1"/>
        <v>135.07</v>
      </c>
      <c r="AH10" vm="1238">
        <f ca="1"/>
        <v>139.31</v>
      </c>
      <c r="AI10" vm="1239">
        <f ca="1"/>
        <v>137.34</v>
      </c>
      <c r="AJ10" vm="1240">
        <f ca="1"/>
        <v>134.25</v>
      </c>
      <c r="AK10" vm="1241">
        <f ca="1"/>
        <v>132</v>
      </c>
      <c r="AL10" vm="1242">
        <f ca="1"/>
        <v>130.38999999999999</v>
      </c>
      <c r="AM10" vm="1243">
        <f ca="1"/>
        <v>128.91</v>
      </c>
      <c r="AN10" vm="1244">
        <f ca="1"/>
        <v>130.68</v>
      </c>
      <c r="AO10" vm="1245">
        <f ca="1"/>
        <v>134.69999999999999</v>
      </c>
      <c r="AP10" vm="1246">
        <f ca="1"/>
        <v>139.66999999999999</v>
      </c>
      <c r="AQ10" vm="1247">
        <f ca="1"/>
        <v>140.22</v>
      </c>
      <c r="AR10" vm="1248">
        <f ca="1"/>
        <v>139.93</v>
      </c>
      <c r="AS10" vm="1249">
        <f ca="1"/>
        <v>137.01</v>
      </c>
      <c r="AT10" vm="1250">
        <f ca="1"/>
        <v>137.49</v>
      </c>
      <c r="AU10" vm="1251">
        <f ca="1"/>
        <v>134.29</v>
      </c>
      <c r="AV10" vm="1252">
        <f ca="1"/>
        <v>138.31</v>
      </c>
      <c r="AW10" vm="1253">
        <f ca="1"/>
        <v>144.47</v>
      </c>
      <c r="AX10" vm="1254">
        <f ca="1"/>
        <v>149.43</v>
      </c>
      <c r="AY10" vm="1255">
        <f ca="1"/>
        <v>140.13999999999999</v>
      </c>
      <c r="AZ10" vm="1256">
        <f ca="1"/>
        <v>140.11000000000001</v>
      </c>
      <c r="BA10" vm="1257">
        <f ca="1"/>
        <v>135.91</v>
      </c>
      <c r="BB10" vm="1258">
        <f ca="1"/>
        <v>133.22999999999999</v>
      </c>
      <c r="BC10" vm="1259">
        <f ca="1"/>
        <v>131.76</v>
      </c>
      <c r="BD10" vm="1260">
        <f ca="1"/>
        <v>136.24</v>
      </c>
      <c r="BE10" vm="1261">
        <f ca="1"/>
        <v>133.57</v>
      </c>
      <c r="BF10" vm="1262">
        <f ca="1"/>
        <v>137.71</v>
      </c>
      <c r="BG10" vm="1263">
        <f ca="1"/>
        <v>140.83000000000001</v>
      </c>
      <c r="BH10" vm="1264">
        <f ca="1"/>
        <v>147.07</v>
      </c>
      <c r="BI10" vm="1265">
        <f ca="1"/>
        <v>147.22</v>
      </c>
      <c r="BJ10" vm="1266">
        <f ca="1"/>
        <v>142.62</v>
      </c>
      <c r="BK10" vm="1267">
        <f ca="1"/>
        <v>118.42</v>
      </c>
      <c r="BL10" vm="1268">
        <f ca="1"/>
        <v>128.99</v>
      </c>
      <c r="BM10" vm="1269">
        <f ca="1"/>
        <v>123.7</v>
      </c>
      <c r="BN10" vm="1270">
        <f ca="1"/>
        <v>124.65</v>
      </c>
      <c r="BO10" vm="1271">
        <f ca="1"/>
        <v>120.07</v>
      </c>
      <c r="BP10" vm="1272">
        <f ca="1"/>
        <v>116.66</v>
      </c>
      <c r="BQ10" vm="1273">
        <f ca="1"/>
        <v>118.65</v>
      </c>
      <c r="BR10" vm="1274">
        <f ca="1"/>
        <v>124.83</v>
      </c>
      <c r="BS10" vm="1275">
        <f ca="1"/>
        <v>128.68</v>
      </c>
      <c r="BT10" vm="1276">
        <f ca="1"/>
        <v>129.84</v>
      </c>
      <c r="BU10" vm="1261">
        <f ca="1"/>
        <v>133.57</v>
      </c>
      <c r="BV10" vm="1277">
        <f ca="1"/>
        <v>132.80000000000001</v>
      </c>
      <c r="BW10" vm="1278">
        <f ca="1"/>
        <v>131.13999999999999</v>
      </c>
      <c r="BX10" vm="1279">
        <f ca="1"/>
        <v>135.29</v>
      </c>
      <c r="BY10" vm="1280">
        <f ca="1"/>
        <v>138.85</v>
      </c>
      <c r="BZ10" vm="1281">
        <f ca="1"/>
        <v>139.4</v>
      </c>
      <c r="CA10" vm="1282">
        <f ca="1"/>
        <v>139.22999999999999</v>
      </c>
      <c r="CB10" vm="1256">
        <f ca="1"/>
        <v>140.11000000000001</v>
      </c>
      <c r="CC10" vm="1283">
        <f ca="1"/>
        <v>134.43</v>
      </c>
      <c r="CD10" vm="1284">
        <f ca="1"/>
        <v>130.28</v>
      </c>
      <c r="CE10" vm="1285">
        <f ca="1"/>
        <v>126.63</v>
      </c>
      <c r="CF10" vm="1286">
        <f ca="1"/>
        <v>131.28</v>
      </c>
      <c r="CG10" vm="1287">
        <f ca="1"/>
        <v>120.15</v>
      </c>
      <c r="CH10" vm="1288">
        <f ca="1"/>
        <v>124.92</v>
      </c>
      <c r="CI10" vm="1289">
        <f ca="1"/>
        <v>114.06</v>
      </c>
      <c r="CJ10" vm="1290">
        <f ca="1"/>
        <v>115.99</v>
      </c>
      <c r="CK10" vm="1291">
        <f ca="1"/>
        <v>117.3</v>
      </c>
      <c r="CL10" vm="1292">
        <f ca="1"/>
        <v>110.57</v>
      </c>
      <c r="CM10" vm="1293">
        <f ca="1"/>
        <v>112.69</v>
      </c>
      <c r="CN10" vm="1294">
        <f ca="1"/>
        <v>106.98</v>
      </c>
      <c r="CO10" vm="1295">
        <f ca="1"/>
        <v>108.76</v>
      </c>
      <c r="CP10" vm="1296">
        <f ca="1"/>
        <v>115.74</v>
      </c>
      <c r="CQ10" vm="1297">
        <f ca="1"/>
        <v>115.58</v>
      </c>
      <c r="CR10" vm="1298">
        <f ca="1"/>
        <v>121.67</v>
      </c>
      <c r="CS10" vm="1299">
        <f ca="1"/>
        <v>119.53</v>
      </c>
      <c r="CT10" vm="1300">
        <f ca="1"/>
        <v>115.43</v>
      </c>
      <c r="CU10" vm="1301">
        <f ca="1"/>
        <v>117.52</v>
      </c>
      <c r="CV10" vm="1302">
        <f ca="1"/>
        <v>118.53</v>
      </c>
      <c r="CW10" vm="1303">
        <f ca="1"/>
        <v>117.7</v>
      </c>
      <c r="CX10" vm="1304">
        <f ca="1"/>
        <v>121.41</v>
      </c>
      <c r="CY10" vm="1305">
        <f ca="1"/>
        <v>120.69</v>
      </c>
      <c r="CZ10" vm="1306">
        <f ca="1"/>
        <v>113.76</v>
      </c>
      <c r="DA10" vm="1307">
        <f ca="1"/>
        <v>111.43</v>
      </c>
      <c r="DB10" vm="1308">
        <f ca="1"/>
        <v>109.67</v>
      </c>
      <c r="DC10" vm="1309">
        <f ca="1"/>
        <v>108.38</v>
      </c>
      <c r="DD10" vm="1310">
        <f ca="1"/>
        <v>110.15</v>
      </c>
      <c r="DE10" vm="1311">
        <f ca="1"/>
        <v>110.42</v>
      </c>
      <c r="DF10" vm="1312">
        <f ca="1"/>
        <v>101.8</v>
      </c>
      <c r="DG10" vm="1313">
        <f ca="1"/>
        <v>94.31</v>
      </c>
      <c r="DH10" vm="1314">
        <f ca="1"/>
        <v>97.64</v>
      </c>
      <c r="DI10" vm="1315">
        <f ca="1"/>
        <v>96.3</v>
      </c>
      <c r="DJ10" vm="1316">
        <f ca="1"/>
        <v>114.33</v>
      </c>
      <c r="DK10" vm="1317">
        <f ca="1"/>
        <v>107.57</v>
      </c>
      <c r="DL10" vm="1318">
        <f ca="1"/>
        <v>110.93</v>
      </c>
      <c r="DM10" vm="1319">
        <f ca="1"/>
        <v>110.71</v>
      </c>
      <c r="DN10" vm="1320">
        <f ca="1"/>
        <v>112.2</v>
      </c>
      <c r="DO10" vm="1321">
        <f ca="1"/>
        <v>104.49</v>
      </c>
      <c r="DP10" vm="1322">
        <f ca="1"/>
        <v>101.49</v>
      </c>
      <c r="DQ10" vm="1323">
        <f ca="1"/>
        <v>96.91</v>
      </c>
      <c r="DR10" vm="1324">
        <f ca="1"/>
        <v>98.89</v>
      </c>
      <c r="DS10" vm="1325">
        <f ca="1"/>
        <v>102.71</v>
      </c>
      <c r="DT10" vm="1326">
        <f ca="1"/>
        <v>106.43</v>
      </c>
      <c r="DU10" vm="1327">
        <f ca="1"/>
        <v>111.01</v>
      </c>
      <c r="DV10" vm="1328">
        <f ca="1"/>
        <v>108.73</v>
      </c>
      <c r="DW10" vm="1329">
        <f ca="1"/>
        <v>109.02</v>
      </c>
      <c r="DX10" vm="1330">
        <f ca="1"/>
        <v>108.92</v>
      </c>
      <c r="DY10" vm="1331">
        <f ca="1"/>
        <v>111.61</v>
      </c>
      <c r="DZ10" vm="1332">
        <f ca="1"/>
        <v>114.5</v>
      </c>
      <c r="EA10" vm="1333">
        <f ca="1"/>
        <v>113.82</v>
      </c>
      <c r="EB10" vm="1334">
        <f ca="1"/>
        <v>113.54</v>
      </c>
      <c r="EC10" vm="1335">
        <f ca="1"/>
        <v>117.06</v>
      </c>
      <c r="ED10" vm="1336">
        <f ca="1"/>
        <v>117.37</v>
      </c>
      <c r="EE10" vm="1337">
        <f ca="1"/>
        <v>116.65</v>
      </c>
      <c r="EF10" vm="1338">
        <f ca="1"/>
        <v>123</v>
      </c>
      <c r="EG10" vm="1339">
        <f ca="1"/>
        <v>129.93</v>
      </c>
      <c r="EH10" vm="1229">
        <f ca="1"/>
        <v>135.34</v>
      </c>
      <c r="EI10" vm="1340">
        <f ca="1"/>
        <v>134.83000000000001</v>
      </c>
      <c r="EJ10" vm="1341">
        <f ca="1"/>
        <v>135.4</v>
      </c>
      <c r="EK10" vm="1342">
        <f ca="1"/>
        <v>135.57</v>
      </c>
      <c r="EL10" vm="1343">
        <f ca="1"/>
        <v>134.38</v>
      </c>
      <c r="EM10" vm="1344">
        <f ca="1"/>
        <v>131.80000000000001</v>
      </c>
      <c r="EN10" vm="1345">
        <f ca="1"/>
        <v>132.83000000000001</v>
      </c>
      <c r="EO10" vm="1346">
        <f ca="1"/>
        <v>131.29</v>
      </c>
      <c r="EP10" vm="1347">
        <f ca="1"/>
        <v>135.5</v>
      </c>
      <c r="EQ10" vm="1348">
        <f ca="1"/>
        <v>134.81</v>
      </c>
      <c r="ER10" vm="1349">
        <f ca="1"/>
        <v>139.19</v>
      </c>
      <c r="ES10" vm="1350">
        <f ca="1"/>
        <v>135.13</v>
      </c>
      <c r="ET10" vm="1351">
        <f ca="1"/>
        <v>137.38</v>
      </c>
      <c r="EU10" vm="1352">
        <f ca="1"/>
        <v>141.22</v>
      </c>
      <c r="EV10" vm="1353">
        <f ca="1"/>
        <v>141.91999999999999</v>
      </c>
      <c r="EW10" vm="1354">
        <f ca="1"/>
        <v>139.99</v>
      </c>
      <c r="EX10" vm="1355">
        <f ca="1"/>
        <v>141.72</v>
      </c>
      <c r="EY10" vm="1356">
        <f ca="1"/>
        <v>142.63</v>
      </c>
      <c r="EZ10" vm="1357">
        <f ca="1"/>
        <v>143.96</v>
      </c>
      <c r="FA10" vm="1358">
        <f ca="1"/>
        <v>142.83000000000001</v>
      </c>
      <c r="FB10" vm="1359">
        <f ca="1"/>
        <v>145</v>
      </c>
      <c r="FC10" vm="1360">
        <f ca="1"/>
        <v>141.97</v>
      </c>
      <c r="FD10" vm="1361">
        <f ca="1"/>
        <v>144.69</v>
      </c>
      <c r="FE10" vm="1362">
        <f ca="1"/>
        <v>144.12</v>
      </c>
      <c r="FF10" vm="1363">
        <f ca="1"/>
        <v>145.47999999999999</v>
      </c>
      <c r="FG10" vm="1364">
        <f ca="1"/>
        <v>143.85</v>
      </c>
      <c r="FH10" vm="1365">
        <f ca="1"/>
        <v>144.16999999999999</v>
      </c>
      <c r="FI10" vm="1366">
        <f ca="1"/>
        <v>147.9</v>
      </c>
      <c r="FJ10" vm="1367">
        <f ca="1"/>
        <v>154.31</v>
      </c>
      <c r="FK10" vm="1368">
        <f ca="1"/>
        <v>155.02000000000001</v>
      </c>
      <c r="FL10" vm="1369">
        <f ca="1"/>
        <v>157.75</v>
      </c>
      <c r="FM10" vm="1370">
        <f ca="1"/>
        <v>157.99</v>
      </c>
      <c r="FN10" vm="1371">
        <f ca="1"/>
        <v>153.30000000000001</v>
      </c>
      <c r="FO10" vm="1372">
        <f ca="1"/>
        <v>157.25</v>
      </c>
      <c r="FP10" vm="1373">
        <f ca="1"/>
        <v>159.34</v>
      </c>
      <c r="FQ10" vm="1374">
        <f ca="1"/>
        <v>158.24</v>
      </c>
      <c r="FR10" vm="1375">
        <f ca="1"/>
        <v>160</v>
      </c>
      <c r="FS10" vm="1376">
        <f ca="1"/>
        <v>162.88</v>
      </c>
      <c r="FT10" vm="1377">
        <f ca="1"/>
        <v>164.1</v>
      </c>
      <c r="FU10" vm="1378">
        <f ca="1"/>
        <v>164.92</v>
      </c>
      <c r="FV10" vm="1379">
        <f ca="1"/>
        <v>164.07</v>
      </c>
      <c r="FW10" vm="1380">
        <f ca="1"/>
        <v>170.7</v>
      </c>
      <c r="FX10" vm="1381">
        <f ca="1"/>
        <v>171.37</v>
      </c>
      <c r="FY10" vm="1382">
        <f ca="1"/>
        <v>173</v>
      </c>
      <c r="FZ10" vm="1383">
        <f ca="1"/>
        <v>172.41</v>
      </c>
      <c r="GA10" vm="1384">
        <f ca="1"/>
        <v>171.38</v>
      </c>
      <c r="GB10" vm="1385">
        <f ca="1"/>
        <v>167.03</v>
      </c>
      <c r="GC10" vm="1386">
        <f ca="1"/>
        <v>170.78</v>
      </c>
      <c r="GD10" vm="1387">
        <f ca="1"/>
        <v>173.74</v>
      </c>
      <c r="GE10" vm="1388">
        <f ca="1"/>
        <v>173.5</v>
      </c>
      <c r="GF10" vm="1389">
        <f ca="1"/>
        <v>176.75</v>
      </c>
      <c r="GG10" vm="1390">
        <f ca="1"/>
        <v>175.51</v>
      </c>
      <c r="GH10" vm="1391">
        <f ca="1"/>
        <v>179.27</v>
      </c>
      <c r="GI10" vm="1392">
        <f ca="1"/>
        <v>177.87</v>
      </c>
      <c r="GJ10" vm="1393">
        <f ca="1"/>
        <v>173.72</v>
      </c>
      <c r="GK10" vm="1394">
        <f ca="1"/>
        <v>180</v>
      </c>
      <c r="GL10" vm="1395">
        <f ca="1"/>
        <v>178.26</v>
      </c>
      <c r="GM10" vm="1396">
        <f ca="1"/>
        <v>179.42</v>
      </c>
      <c r="GN10" vm="1397">
        <f ca="1"/>
        <v>180.77</v>
      </c>
      <c r="GO10" vm="1398">
        <f ca="1"/>
        <v>182.7</v>
      </c>
      <c r="GP10" vm="1399">
        <f ca="1"/>
        <v>182.06</v>
      </c>
      <c r="GQ10" vm="1400">
        <f ca="1"/>
        <v>183.16</v>
      </c>
      <c r="GR10" vm="1401">
        <f ca="1"/>
        <v>181.59</v>
      </c>
      <c r="GS10" vm="1402">
        <f ca="1"/>
        <v>182.02</v>
      </c>
      <c r="GT10" vm="1403">
        <f ca="1"/>
        <v>180.45</v>
      </c>
      <c r="GU10" vm="1404">
        <f ca="1"/>
        <v>182.01</v>
      </c>
      <c r="GV10" vm="1405">
        <f ca="1"/>
        <v>175.64</v>
      </c>
      <c r="GW10" vm="1406">
        <f ca="1"/>
        <v>175.4</v>
      </c>
      <c r="GX10" vm="1407">
        <f ca="1"/>
        <v>174.98</v>
      </c>
      <c r="GY10" vm="1408">
        <f ca="1"/>
        <v>177.99</v>
      </c>
      <c r="GZ10" vm="1409">
        <f ca="1"/>
        <v>179.81</v>
      </c>
      <c r="HA10" vm="1410">
        <f ca="1"/>
        <v>181.77</v>
      </c>
      <c r="HB10" vm="1411">
        <f ca="1"/>
        <v>181.6</v>
      </c>
      <c r="HC10" vm="1412">
        <f ca="1"/>
        <v>180.17</v>
      </c>
      <c r="HD10" vm="1413">
        <f ca="1"/>
        <v>174.18</v>
      </c>
      <c r="HE10" vm="1386">
        <f ca="1"/>
        <v>170.78</v>
      </c>
      <c r="HF10" vm="1414">
        <f ca="1"/>
        <v>170.62</v>
      </c>
      <c r="HG10" vm="1415">
        <f ca="1"/>
        <v>171.66</v>
      </c>
      <c r="HH10" vm="1416">
        <f ca="1"/>
        <v>167.02</v>
      </c>
      <c r="HI10" vm="1417">
        <f ca="1"/>
        <v>168.31</v>
      </c>
      <c r="HJ10" vm="1418">
        <f ca="1"/>
        <v>170.76</v>
      </c>
      <c r="HK10" vm="1419">
        <f ca="1"/>
        <v>177.33</v>
      </c>
      <c r="HL10" vm="1420">
        <f ca="1"/>
        <v>177.17</v>
      </c>
      <c r="HM10" vm="1421">
        <f ca="1"/>
        <v>177.82</v>
      </c>
      <c r="HN10" vm="1422">
        <f ca="1"/>
        <v>177.75</v>
      </c>
      <c r="HO10" vm="1423">
        <f ca="1"/>
        <v>174.88</v>
      </c>
      <c r="HP10" vm="1424">
        <f ca="1"/>
        <v>170.29</v>
      </c>
      <c r="HQ10" vm="1425">
        <f ca="1"/>
        <v>176.24</v>
      </c>
      <c r="HR10" vm="1426">
        <f ca="1"/>
        <v>176.67</v>
      </c>
      <c r="HS10" vm="1427">
        <f ca="1"/>
        <v>183.61</v>
      </c>
      <c r="HT10" vm="1428">
        <f ca="1"/>
        <v>178.43</v>
      </c>
      <c r="HU10" vm="1429">
        <f ca="1"/>
        <v>176.97</v>
      </c>
      <c r="HV10" vm="1430">
        <f ca="1"/>
        <v>177.69</v>
      </c>
      <c r="HW10" vm="1431">
        <f ca="1"/>
        <v>178.19</v>
      </c>
      <c r="HX10" vm="1432">
        <f ca="1"/>
        <v>181.85</v>
      </c>
      <c r="HY10" vm="1433">
        <f ca="1"/>
        <v>186.58</v>
      </c>
      <c r="HZ10" vm="1434">
        <f ca="1"/>
        <v>187.24</v>
      </c>
      <c r="IA10" vm="1435">
        <f ca="1"/>
        <v>188.89</v>
      </c>
      <c r="IB10" vm="1436">
        <f ca="1"/>
        <v>187.62</v>
      </c>
      <c r="IC10" vm="1437">
        <f ca="1"/>
        <v>185.54</v>
      </c>
      <c r="ID10" vm="1438">
        <f ca="1"/>
        <v>185.04</v>
      </c>
      <c r="IE10" vm="1439">
        <f ca="1"/>
        <v>189.11</v>
      </c>
      <c r="IF10" vm="1440">
        <f ca="1"/>
        <v>192.57</v>
      </c>
      <c r="IG10" vm="1400">
        <f ca="1"/>
        <v>183.16</v>
      </c>
      <c r="IH10" vm="1441">
        <f ca="1"/>
        <v>188.32</v>
      </c>
      <c r="II10" vm="1442">
        <f ca="1"/>
        <v>180.03</v>
      </c>
      <c r="IJ10" vm="1443">
        <f ca="1"/>
        <v>179.83</v>
      </c>
      <c r="IK10" vm="1444">
        <f ca="1"/>
        <v>181.81</v>
      </c>
      <c r="IL10" vm="1445">
        <f ca="1"/>
        <v>183.22</v>
      </c>
      <c r="IM10" vm="1446">
        <f ca="1"/>
        <v>182.64</v>
      </c>
      <c r="IN10" vm="1447">
        <f ca="1"/>
        <v>181.16</v>
      </c>
      <c r="IO10" vm="1448">
        <f ca="1"/>
        <v>180.28</v>
      </c>
      <c r="IP10" vm="1449">
        <f ca="1"/>
        <v>182.16</v>
      </c>
      <c r="IQ10" vm="1450">
        <f ca="1"/>
        <v>186.26</v>
      </c>
      <c r="IR10" vm="1451">
        <f ca="1"/>
        <v>191.49</v>
      </c>
      <c r="IS10" vm="1452">
        <f ca="1"/>
        <v>201.03</v>
      </c>
      <c r="IT10" vm="1453">
        <f ca="1"/>
        <v>207.04</v>
      </c>
      <c r="IU10" vm="1454">
        <f ca="1"/>
        <v>202.89</v>
      </c>
      <c r="IV10" vm="1455">
        <f ca="1"/>
        <v>202.49</v>
      </c>
      <c r="IW10" vm="1456">
        <f ca="1"/>
        <v>206.88</v>
      </c>
      <c r="IX10" vm="1457">
        <f ca="1"/>
        <v>198.69</v>
      </c>
      <c r="IY10" vm="1458">
        <f ca="1"/>
        <v>195.21</v>
      </c>
      <c r="IZ10" vm="1459">
        <f ca="1"/>
        <v>188.08</v>
      </c>
      <c r="JA10" vm="1460">
        <f ca="1"/>
        <v>188.15</v>
      </c>
    </row>
    <row r="11" spans="1:266" ht="20" customHeight="1" x14ac:dyDescent="0.2">
      <c r="B11" t="e" vm="1461">
        <v>#VALUE!</v>
      </c>
      <c r="C11" t="str">
        <f ca="1"/>
        <v>Software &amp; IT Services</v>
      </c>
      <c r="D11" t="str">
        <f ca="1"/>
        <v>USD</v>
      </c>
      <c r="E11">
        <v>1</v>
      </c>
      <c r="F11">
        <f ca="1"/>
        <v>212.285</v>
      </c>
      <c r="G11">
        <f ca="1"/>
        <v>212.285</v>
      </c>
      <c r="H11" s="11" cm="1">
        <f t="array" aca="1" ref="H11" ca="1">(F11-IF(C11="USD",_FV( B11,"Clôture précédente",TRUE)*$K$4,_FV( B11,"Clôture précédente",TRUE)))*E11</f>
        <v>0.91499999999999204</v>
      </c>
      <c r="I11" s="8" cm="1">
        <f t="array" aca="1" ref="I11" ca="1">(F11-_FV(B11,"Clôture précédente",TRUE))/_FV(B11,"Clôture précédente",TRUE)</f>
        <v>4.3289019255333874E-3</v>
      </c>
      <c r="J11" s="12">
        <f ca="1"/>
        <v>19.335000000000008</v>
      </c>
      <c r="M11" cm="1" vm="1462">
        <f t="array" aca="1" ref="M11:JA11" ca="1">TRANSPOSE(_xlfn.STOCKHISTORY(B11,TODAY()-365,TODAY(),0,0,1))</f>
        <v>199.05</v>
      </c>
      <c r="N11" vm="1463">
        <f ca="1"/>
        <v>199.01</v>
      </c>
      <c r="O11" vm="1464">
        <f ca="1"/>
        <v>201.18</v>
      </c>
      <c r="P11" vm="1465">
        <f ca="1"/>
        <v>197.19499999999999</v>
      </c>
      <c r="Q11" vm="1466">
        <f ca="1"/>
        <v>193.5</v>
      </c>
      <c r="R11" vm="1467">
        <f ca="1"/>
        <v>193.41499999999999</v>
      </c>
      <c r="S11" vm="1468">
        <f ca="1"/>
        <v>194.03</v>
      </c>
      <c r="T11" vm="1469">
        <f ca="1"/>
        <v>196.44499999999999</v>
      </c>
      <c r="U11" vm="1470">
        <f ca="1"/>
        <v>198.85</v>
      </c>
      <c r="V11" vm="1471">
        <f ca="1"/>
        <v>191.68</v>
      </c>
      <c r="W11" vm="1472">
        <f ca="1"/>
        <v>193.19</v>
      </c>
      <c r="X11" vm="1473">
        <f ca="1"/>
        <v>198.2</v>
      </c>
      <c r="Y11" vm="1474">
        <f ca="1"/>
        <v>192.185</v>
      </c>
      <c r="Z11" vm="1475">
        <f ca="1"/>
        <v>193.91</v>
      </c>
      <c r="AA11" vm="1476">
        <f ca="1"/>
        <v>195.08500000000001</v>
      </c>
      <c r="AB11" vm="1477">
        <f ca="1"/>
        <v>196.29499999999999</v>
      </c>
      <c r="AC11" vm="1478">
        <f ca="1"/>
        <v>202.29</v>
      </c>
      <c r="AD11" vm="1479">
        <f ca="1"/>
        <v>201.51499999999999</v>
      </c>
      <c r="AE11" vm="1480">
        <f ca="1"/>
        <v>202.95</v>
      </c>
      <c r="AF11" vm="1481">
        <f ca="1"/>
        <v>194.47</v>
      </c>
      <c r="AG11" vm="1482">
        <f ca="1"/>
        <v>194.88</v>
      </c>
      <c r="AH11" vm="1483">
        <f ca="1"/>
        <v>199.21</v>
      </c>
      <c r="AI11" vm="1484">
        <f ca="1"/>
        <v>200.10499999999999</v>
      </c>
      <c r="AJ11" vm="1485">
        <f ca="1"/>
        <v>196.56</v>
      </c>
      <c r="AK11" vm="1486">
        <f ca="1"/>
        <v>202.5</v>
      </c>
      <c r="AL11" vm="1487">
        <f ca="1"/>
        <v>201.24</v>
      </c>
      <c r="AM11" vm="1488">
        <f ca="1"/>
        <v>188.76</v>
      </c>
      <c r="AN11" vm="1489">
        <f ca="1"/>
        <v>189.36</v>
      </c>
      <c r="AO11" vm="1490">
        <f ca="1"/>
        <v>186.78</v>
      </c>
      <c r="AP11" vm="1491">
        <f ca="1"/>
        <v>188.22</v>
      </c>
      <c r="AQ11" vm="1492">
        <f ca="1"/>
        <v>189.51</v>
      </c>
      <c r="AR11" vm="1493">
        <f ca="1"/>
        <v>188.5</v>
      </c>
      <c r="AS11" vm="1494">
        <f ca="1"/>
        <v>186.18</v>
      </c>
      <c r="AT11" vm="1495">
        <f ca="1"/>
        <v>184.2</v>
      </c>
      <c r="AU11" vm="1496">
        <f ca="1"/>
        <v>181.96</v>
      </c>
      <c r="AV11" vm="1497">
        <f ca="1"/>
        <v>180.74</v>
      </c>
      <c r="AW11" vm="1498">
        <f ca="1"/>
        <v>183.25</v>
      </c>
      <c r="AX11" vm="1499">
        <f ca="1"/>
        <v>179.5</v>
      </c>
      <c r="AY11" vm="1390">
        <f ca="1"/>
        <v>175.51</v>
      </c>
      <c r="AZ11" vm="1500">
        <f ca="1"/>
        <v>172.83</v>
      </c>
      <c r="BA11" vm="1501">
        <f ca="1"/>
        <v>173.42</v>
      </c>
      <c r="BB11" vm="1502">
        <f ca="1"/>
        <v>167.82</v>
      </c>
      <c r="BC11" vm="1503">
        <f ca="1"/>
        <v>170.58</v>
      </c>
      <c r="BD11" vm="1504">
        <f ca="1"/>
        <v>174.19</v>
      </c>
      <c r="BE11" vm="1420">
        <f ca="1"/>
        <v>177.17</v>
      </c>
      <c r="BF11" vm="1505">
        <f ca="1"/>
        <v>177.11</v>
      </c>
      <c r="BG11" vm="1506">
        <f ca="1"/>
        <v>183.51</v>
      </c>
      <c r="BH11" vm="364">
        <f ca="1"/>
        <v>187.7</v>
      </c>
      <c r="BI11" vm="1507">
        <f ca="1"/>
        <v>187.32</v>
      </c>
      <c r="BJ11" vm="364">
        <f ca="1"/>
        <v>187.7</v>
      </c>
      <c r="BK11" vm="1508">
        <f ca="1"/>
        <v>189.3</v>
      </c>
      <c r="BL11" vm="1509">
        <f ca="1"/>
        <v>192.94</v>
      </c>
      <c r="BM11" vm="1510">
        <f ca="1"/>
        <v>185.42</v>
      </c>
      <c r="BN11" vm="1511">
        <f ca="1"/>
        <v>187.42</v>
      </c>
      <c r="BO11" vm="366">
        <f ca="1"/>
        <v>184.42</v>
      </c>
      <c r="BP11" vm="1512">
        <f ca="1"/>
        <v>182.79</v>
      </c>
      <c r="BQ11" vm="1513">
        <f ca="1"/>
        <v>183.4</v>
      </c>
      <c r="BR11" vm="1514">
        <f ca="1"/>
        <v>186.85</v>
      </c>
      <c r="BS11" vm="1515">
        <f ca="1"/>
        <v>187.37</v>
      </c>
      <c r="BT11" vm="1516">
        <f ca="1"/>
        <v>193.94</v>
      </c>
      <c r="BU11" vm="1517">
        <f ca="1"/>
        <v>196.4</v>
      </c>
      <c r="BV11" vm="1518">
        <f ca="1"/>
        <v>195.49</v>
      </c>
      <c r="BW11" vm="1519">
        <f ca="1"/>
        <v>196.73</v>
      </c>
      <c r="BX11" vm="1520">
        <f ca="1"/>
        <v>201.88</v>
      </c>
      <c r="BY11" vm="1521">
        <f ca="1"/>
        <v>200.03</v>
      </c>
      <c r="BZ11" vm="1522">
        <f ca="1"/>
        <v>208.28</v>
      </c>
      <c r="CA11" vm="1523">
        <f ca="1"/>
        <v>205.19</v>
      </c>
      <c r="CB11" vm="1524">
        <f ca="1"/>
        <v>198.81</v>
      </c>
      <c r="CC11" vm="1525">
        <f ca="1"/>
        <v>191.03</v>
      </c>
      <c r="CD11" vm="1526">
        <f ca="1"/>
        <v>190.39</v>
      </c>
      <c r="CE11" vm="1527">
        <f ca="1"/>
        <v>188.01</v>
      </c>
      <c r="CF11" vm="1528">
        <f ca="1"/>
        <v>189.55</v>
      </c>
      <c r="CG11" vm="1529">
        <f ca="1"/>
        <v>187.5</v>
      </c>
      <c r="CH11" vm="1530">
        <f ca="1"/>
        <v>190.43</v>
      </c>
      <c r="CI11" vm="1531">
        <f ca="1"/>
        <v>183.68</v>
      </c>
      <c r="CJ11" vm="1532">
        <f ca="1"/>
        <v>184.38</v>
      </c>
      <c r="CK11" vm="1533">
        <f ca="1"/>
        <v>184.28</v>
      </c>
      <c r="CL11" vm="1534">
        <f ca="1"/>
        <v>179.33</v>
      </c>
      <c r="CM11" vm="1535">
        <f ca="1"/>
        <v>180.93</v>
      </c>
      <c r="CN11" vm="1536">
        <f ca="1"/>
        <v>173.83</v>
      </c>
      <c r="CO11" vm="1537">
        <f ca="1"/>
        <v>178.93</v>
      </c>
      <c r="CP11" vm="1538">
        <f ca="1"/>
        <v>179.48</v>
      </c>
      <c r="CQ11" vm="1539">
        <f ca="1"/>
        <v>176.32</v>
      </c>
      <c r="CR11" vm="1540">
        <f ca="1"/>
        <v>182.34</v>
      </c>
      <c r="CS11" vm="1541">
        <f ca="1"/>
        <v>185</v>
      </c>
      <c r="CT11" vm="1542">
        <f ca="1"/>
        <v>183.1</v>
      </c>
      <c r="CU11" vm="1543">
        <f ca="1"/>
        <v>187.54</v>
      </c>
      <c r="CV11" vm="1544">
        <f ca="1"/>
        <v>184.01</v>
      </c>
      <c r="CW11" vm="1545">
        <f ca="1"/>
        <v>182.32</v>
      </c>
      <c r="CX11" vm="1546">
        <f ca="1"/>
        <v>184.79</v>
      </c>
      <c r="CY11" vm="1547">
        <f ca="1"/>
        <v>189.95</v>
      </c>
      <c r="CZ11" vm="1548">
        <f ca="1"/>
        <v>184.96</v>
      </c>
      <c r="DA11" vm="1549">
        <f ca="1"/>
        <v>174.44</v>
      </c>
      <c r="DB11" vm="1550">
        <f ca="1"/>
        <v>172.76</v>
      </c>
      <c r="DC11" vm="1551">
        <f ca="1"/>
        <v>170.64</v>
      </c>
      <c r="DD11" vm="1552">
        <f ca="1"/>
        <v>171.31</v>
      </c>
      <c r="DE11" vm="360">
        <f ca="1"/>
        <v>173.18</v>
      </c>
      <c r="DF11" vm="1553">
        <f ca="1"/>
        <v>165.17</v>
      </c>
      <c r="DG11" vm="1554">
        <f ca="1"/>
        <v>153.57</v>
      </c>
      <c r="DH11" vm="1555">
        <f ca="1"/>
        <v>152.44</v>
      </c>
      <c r="DI11" vm="1556">
        <f ca="1"/>
        <v>152.53</v>
      </c>
      <c r="DJ11" vm="1557">
        <f ca="1"/>
        <v>173.02</v>
      </c>
      <c r="DK11" vm="1558">
        <f ca="1"/>
        <v>168.27</v>
      </c>
      <c r="DL11" vm="1559">
        <f ca="1"/>
        <v>168.34</v>
      </c>
      <c r="DM11" vm="1560">
        <f ca="1"/>
        <v>169.98</v>
      </c>
      <c r="DN11" vm="1561">
        <f ca="1"/>
        <v>173.55</v>
      </c>
      <c r="DO11" vm="1562">
        <f ca="1"/>
        <v>169.76</v>
      </c>
      <c r="DP11" vm="1563">
        <f ca="1"/>
        <v>167.69</v>
      </c>
      <c r="DQ11" vm="1564">
        <f ca="1"/>
        <v>160.05000000000001</v>
      </c>
      <c r="DR11" vm="1565">
        <f ca="1"/>
        <v>163.63</v>
      </c>
      <c r="DS11" vm="1566">
        <f ca="1"/>
        <v>168.32</v>
      </c>
      <c r="DT11" vm="1567">
        <f ca="1"/>
        <v>176.04</v>
      </c>
      <c r="DU11" vm="1568">
        <f ca="1"/>
        <v>178.98</v>
      </c>
      <c r="DV11" vm="1569">
        <f ca="1"/>
        <v>181.54</v>
      </c>
      <c r="DW11" vm="1570">
        <f ca="1"/>
        <v>186.65</v>
      </c>
      <c r="DX11" vm="1571">
        <f ca="1"/>
        <v>186.93</v>
      </c>
      <c r="DY11" vm="1572">
        <f ca="1"/>
        <v>186.27</v>
      </c>
      <c r="DZ11" vm="364">
        <f ca="1"/>
        <v>187.7</v>
      </c>
      <c r="EA11" vm="1573">
        <f ca="1"/>
        <v>188.13</v>
      </c>
      <c r="EB11" vm="1574">
        <f ca="1"/>
        <v>188.69</v>
      </c>
      <c r="EC11" vm="1575">
        <f ca="1"/>
        <v>188.14</v>
      </c>
      <c r="ED11" vm="1576">
        <f ca="1"/>
        <v>188.53</v>
      </c>
      <c r="EE11" vm="1571">
        <f ca="1"/>
        <v>186.93</v>
      </c>
      <c r="EF11" vm="1466">
        <f ca="1"/>
        <v>193.5</v>
      </c>
      <c r="EG11" vm="1577">
        <f ca="1"/>
        <v>192</v>
      </c>
      <c r="EH11" vm="1578">
        <f ca="1"/>
        <v>190.9</v>
      </c>
      <c r="EI11" vm="1579">
        <f ca="1"/>
        <v>192.9</v>
      </c>
      <c r="EJ11" vm="1580">
        <f ca="1"/>
        <v>192.98</v>
      </c>
      <c r="EK11" vm="1581">
        <f ca="1"/>
        <v>194.3</v>
      </c>
      <c r="EL11" vm="1582">
        <f ca="1"/>
        <v>194.48</v>
      </c>
      <c r="EM11" vm="1583">
        <f ca="1"/>
        <v>181.26</v>
      </c>
      <c r="EN11" vm="1584">
        <f ca="1"/>
        <v>186.14</v>
      </c>
      <c r="EO11" vm="1585">
        <f ca="1"/>
        <v>186.75</v>
      </c>
      <c r="EP11" vm="1586">
        <f ca="1"/>
        <v>187.46</v>
      </c>
      <c r="EQ11" vm="1587">
        <f ca="1"/>
        <v>187.8</v>
      </c>
      <c r="ER11" vm="1588">
        <f ca="1"/>
        <v>185.82</v>
      </c>
      <c r="ES11" vm="1589">
        <f ca="1"/>
        <v>192.42</v>
      </c>
      <c r="ET11" vm="1590">
        <f ca="1"/>
        <v>194.86</v>
      </c>
      <c r="EU11" vm="261">
        <f ca="1"/>
        <v>197.12</v>
      </c>
      <c r="EV11" vm="1591">
        <f ca="1"/>
        <v>194.07</v>
      </c>
      <c r="EW11" vm="1592">
        <f ca="1"/>
        <v>197.11</v>
      </c>
      <c r="EX11" vm="1593">
        <f ca="1"/>
        <v>199.6</v>
      </c>
      <c r="EY11" vm="1594">
        <f ca="1"/>
        <v>196.33</v>
      </c>
      <c r="EZ11" vm="1595">
        <f ca="1"/>
        <v>195.95</v>
      </c>
      <c r="FA11" vm="1596">
        <f ca="1"/>
        <v>194.39</v>
      </c>
      <c r="FB11" vm="1597">
        <f ca="1"/>
        <v>197.67</v>
      </c>
      <c r="FC11" vm="1598">
        <f ca="1"/>
        <v>196.27</v>
      </c>
      <c r="FD11" vm="1599">
        <f ca="1"/>
        <v>198.11</v>
      </c>
      <c r="FE11" vm="1600">
        <f ca="1"/>
        <v>202.05</v>
      </c>
      <c r="FF11" vm="1601">
        <f ca="1"/>
        <v>199.78</v>
      </c>
      <c r="FG11" vm="1602">
        <f ca="1"/>
        <v>199.24</v>
      </c>
      <c r="FH11" vm="1603">
        <f ca="1"/>
        <v>203.32</v>
      </c>
      <c r="FI11" vm="1604">
        <f ca="1"/>
        <v>201.69</v>
      </c>
      <c r="FJ11" vm="1605">
        <f ca="1"/>
        <v>204.3</v>
      </c>
      <c r="FK11" vm="1606">
        <f ca="1"/>
        <v>202.34</v>
      </c>
      <c r="FL11" vm="1607">
        <f ca="1"/>
        <v>200.57</v>
      </c>
      <c r="FM11" vm="1608">
        <f ca="1"/>
        <v>204.64</v>
      </c>
      <c r="FN11" vm="1609">
        <f ca="1"/>
        <v>197.58</v>
      </c>
      <c r="FO11" vm="1610">
        <f ca="1"/>
        <v>196.97</v>
      </c>
      <c r="FP11" vm="1611">
        <f ca="1"/>
        <v>201.82</v>
      </c>
      <c r="FQ11" vm="1612">
        <f ca="1"/>
        <v>201.42</v>
      </c>
      <c r="FR11" vm="1613">
        <f ca="1"/>
        <v>203.99</v>
      </c>
      <c r="FS11" vm="1614">
        <f ca="1"/>
        <v>206.06</v>
      </c>
      <c r="FT11" vm="1615">
        <f ca="1"/>
        <v>192.07</v>
      </c>
      <c r="FU11" vm="365">
        <f ca="1"/>
        <v>187.39</v>
      </c>
      <c r="FV11" vm="1616">
        <f ca="1"/>
        <v>190.72</v>
      </c>
      <c r="FW11" vm="1617">
        <f ca="1"/>
        <v>192.25</v>
      </c>
      <c r="FX11" vm="1618">
        <f ca="1"/>
        <v>192.59</v>
      </c>
      <c r="FY11" vm="1619">
        <f ca="1"/>
        <v>196.28</v>
      </c>
      <c r="FZ11" vm="1620">
        <f ca="1"/>
        <v>195.78</v>
      </c>
      <c r="GA11" vm="1621">
        <f ca="1"/>
        <v>199.88</v>
      </c>
      <c r="GB11" vm="1519">
        <f ca="1"/>
        <v>196.73</v>
      </c>
      <c r="GC11" vm="1622">
        <f ca="1"/>
        <v>199.22</v>
      </c>
      <c r="GD11" vm="1623">
        <f ca="1"/>
        <v>201.16</v>
      </c>
      <c r="GE11" vm="1624">
        <f ca="1"/>
        <v>203.27</v>
      </c>
      <c r="GF11" vm="1625">
        <f ca="1"/>
        <v>204.5</v>
      </c>
      <c r="GG11" vm="1626">
        <f ca="1"/>
        <v>193.84</v>
      </c>
      <c r="GH11" vm="1627">
        <f ca="1"/>
        <v>183.03</v>
      </c>
      <c r="GI11" vm="1628">
        <f ca="1"/>
        <v>173.6</v>
      </c>
      <c r="GJ11" vm="1629">
        <f ca="1"/>
        <v>172.88</v>
      </c>
      <c r="GK11" vm="349">
        <f ca="1"/>
        <v>171</v>
      </c>
      <c r="GL11" vm="1630">
        <f ca="1"/>
        <v>169.09</v>
      </c>
      <c r="GM11" vm="1631">
        <f ca="1"/>
        <v>172.89</v>
      </c>
      <c r="GN11" vm="1632">
        <f ca="1"/>
        <v>168.1</v>
      </c>
      <c r="GO11" vm="1633">
        <f ca="1"/>
        <v>167.06</v>
      </c>
      <c r="GP11" vm="1634">
        <f ca="1"/>
        <v>168.17</v>
      </c>
      <c r="GQ11" vm="1406">
        <f ca="1"/>
        <v>175.4</v>
      </c>
      <c r="GR11" vm="1635">
        <f ca="1"/>
        <v>176.86</v>
      </c>
      <c r="GS11" vm="1561">
        <f ca="1"/>
        <v>173.55</v>
      </c>
      <c r="GT11" vm="1636">
        <f ca="1"/>
        <v>177.09</v>
      </c>
      <c r="GU11" vm="1637">
        <f ca="1"/>
        <v>176.17</v>
      </c>
      <c r="GV11" vm="1638">
        <f ca="1"/>
        <v>181.56</v>
      </c>
      <c r="GW11" vm="1639">
        <f ca="1"/>
        <v>184.43</v>
      </c>
      <c r="GX11" vm="1640">
        <f ca="1"/>
        <v>183.32</v>
      </c>
      <c r="GY11" vm="1641">
        <f ca="1"/>
        <v>185.88</v>
      </c>
      <c r="GZ11" vm="1642">
        <f ca="1"/>
        <v>184.55</v>
      </c>
      <c r="HA11" vm="1643">
        <f ca="1"/>
        <v>184.23</v>
      </c>
      <c r="HB11" vm="1644">
        <f ca="1"/>
        <v>187.61</v>
      </c>
      <c r="HC11" vm="1645">
        <f ca="1"/>
        <v>191.02</v>
      </c>
      <c r="HD11" vm="1646">
        <f ca="1"/>
        <v>190.52</v>
      </c>
      <c r="HE11" vm="1646">
        <f ca="1"/>
        <v>190.52</v>
      </c>
      <c r="HF11" vm="1647">
        <f ca="1"/>
        <v>191.53</v>
      </c>
      <c r="HG11" vm="1648">
        <f ca="1"/>
        <v>192.35</v>
      </c>
      <c r="HH11" vm="1649">
        <f ca="1"/>
        <v>194.46</v>
      </c>
      <c r="HI11" vm="1650">
        <f ca="1"/>
        <v>197.38</v>
      </c>
      <c r="HJ11" vm="1651">
        <f ca="1"/>
        <v>197.55</v>
      </c>
      <c r="HK11" vm="1652">
        <f ca="1"/>
        <v>197.33</v>
      </c>
      <c r="HL11" vm="1653">
        <f ca="1"/>
        <v>198.33</v>
      </c>
      <c r="HM11" vm="1654">
        <f ca="1"/>
        <v>196.29</v>
      </c>
      <c r="HN11" vm="1655">
        <f ca="1"/>
        <v>201.28</v>
      </c>
      <c r="HO11" vm="1656">
        <f ca="1"/>
        <v>201.34</v>
      </c>
      <c r="HP11" vm="1657">
        <f ca="1"/>
        <v>203.12</v>
      </c>
      <c r="HQ11" vm="1658">
        <f ca="1"/>
        <v>205.68</v>
      </c>
      <c r="HR11" vm="1659">
        <f ca="1"/>
        <v>208.19</v>
      </c>
      <c r="HS11" vm="1660">
        <f ca="1"/>
        <v>208.18</v>
      </c>
      <c r="HT11" vm="1661">
        <f ca="1"/>
        <v>203.25</v>
      </c>
      <c r="HU11" vm="328">
        <f ca="1"/>
        <v>200.7</v>
      </c>
      <c r="HV11" vm="1662">
        <f ca="1"/>
        <v>202.21</v>
      </c>
      <c r="HW11" vm="1663">
        <f ca="1"/>
        <v>202.37</v>
      </c>
      <c r="HX11" vm="1664">
        <f ca="1"/>
        <v>203.96</v>
      </c>
      <c r="HY11" vm="1665">
        <f ca="1"/>
        <v>203.62</v>
      </c>
      <c r="HZ11" vm="1666">
        <f ca="1"/>
        <v>206.8</v>
      </c>
      <c r="IA11" vm="1667">
        <f ca="1"/>
        <v>209.3</v>
      </c>
      <c r="IB11" vm="1668">
        <f ca="1"/>
        <v>207.19</v>
      </c>
      <c r="IC11" vm="1669">
        <f ca="1"/>
        <v>212.58</v>
      </c>
      <c r="ID11" vm="1670">
        <f ca="1"/>
        <v>211.04</v>
      </c>
      <c r="IE11" vm="1671">
        <f ca="1"/>
        <v>217.79</v>
      </c>
      <c r="IF11" vm="1672">
        <f ca="1"/>
        <v>215.17</v>
      </c>
      <c r="IG11" vm="1673">
        <f ca="1"/>
        <v>208.55</v>
      </c>
      <c r="IH11" vm="1674">
        <f ca="1"/>
        <v>213.28</v>
      </c>
      <c r="II11" vm="1675">
        <f ca="1"/>
        <v>207.56</v>
      </c>
      <c r="IJ11" vm="1676">
        <f ca="1"/>
        <v>206.7</v>
      </c>
      <c r="IK11" vm="1677">
        <f ca="1"/>
        <v>205.51</v>
      </c>
      <c r="IL11" vm="265">
        <f ca="1"/>
        <v>207.89</v>
      </c>
      <c r="IM11" vm="1678">
        <f ca="1"/>
        <v>211.82</v>
      </c>
      <c r="IN11" vm="1679">
        <f ca="1"/>
        <v>214.4</v>
      </c>
      <c r="IO11" vm="1680">
        <f ca="1"/>
        <v>212.42</v>
      </c>
      <c r="IP11" vm="1681">
        <f ca="1"/>
        <v>215.02</v>
      </c>
      <c r="IQ11" vm="1682">
        <f ca="1"/>
        <v>217.11</v>
      </c>
      <c r="IR11" vm="1683">
        <f ca="1"/>
        <v>220.29</v>
      </c>
      <c r="IS11" vm="1684">
        <f ca="1"/>
        <v>221.38</v>
      </c>
      <c r="IT11" vm="1685">
        <f ca="1"/>
        <v>217.16</v>
      </c>
      <c r="IU11" vm="1686">
        <f ca="1"/>
        <v>218.27</v>
      </c>
      <c r="IV11" vm="1687">
        <f ca="1"/>
        <v>220.24</v>
      </c>
      <c r="IW11" vm="1688">
        <f ca="1"/>
        <v>219.23</v>
      </c>
      <c r="IX11" vm="1689">
        <f ca="1"/>
        <v>214.52</v>
      </c>
      <c r="IY11" vm="1690">
        <f ca="1"/>
        <v>213.18</v>
      </c>
      <c r="IZ11" vm="375">
        <f ca="1"/>
        <v>211.37</v>
      </c>
      <c r="JA11" vm="1691">
        <f ca="1"/>
        <v>212.285</v>
      </c>
    </row>
    <row r="12" spans="1:266" ht="20" customHeight="1" x14ac:dyDescent="0.2">
      <c r="B12" t="e" vm="1692">
        <v>#VALUE!</v>
      </c>
      <c r="C12" t="str">
        <f ca="1"/>
        <v>Software &amp; IT Services</v>
      </c>
      <c r="D12" t="str">
        <f ca="1"/>
        <v>USD</v>
      </c>
      <c r="E12">
        <v>1.43</v>
      </c>
      <c r="F12">
        <f ca="1"/>
        <v>232</v>
      </c>
      <c r="G12">
        <f ca="1"/>
        <v>331.76</v>
      </c>
      <c r="H12" s="11" cm="1">
        <f t="array" aca="1" ref="H12" ca="1">(F12-IF(C12="USD",_FV( B12,"Clôture précédente",TRUE)*$K$4,_FV( B12,"Clôture précédente",TRUE)))*E12</f>
        <v>-29.172000000000008</v>
      </c>
      <c r="I12" s="8" cm="1">
        <f t="array" aca="1" ref="I12" ca="1">(F12-_FV(B12,"Clôture précédente",TRUE))/_FV(B12,"Clôture précédente",TRUE)</f>
        <v>-8.0824088748019038E-2</v>
      </c>
      <c r="J12" s="12">
        <f ca="1"/>
        <v>51.730000000000018</v>
      </c>
      <c r="M12" cm="1" vm="1693">
        <f t="array" aca="1" ref="M12:JA12" ca="1">TRANSPOSE(_xlfn.STOCKHISTORY(B12,TODAY()-365,TODAY(),0,0,1))</f>
        <v>179.39</v>
      </c>
      <c r="N12" vm="1694">
        <f ca="1"/>
        <v>180.55</v>
      </c>
      <c r="O12" vm="1695">
        <f ca="1"/>
        <v>181.87</v>
      </c>
      <c r="P12" vm="1696">
        <f ca="1"/>
        <v>181.48</v>
      </c>
      <c r="Q12" vm="1697">
        <f ca="1"/>
        <v>177.62</v>
      </c>
      <c r="R12" vm="1698">
        <f ca="1"/>
        <v>182.93</v>
      </c>
      <c r="S12" vm="1699">
        <f ca="1"/>
        <v>186.01</v>
      </c>
      <c r="T12" vm="1700">
        <f ca="1"/>
        <v>185.5</v>
      </c>
      <c r="U12" vm="1433">
        <f ca="1"/>
        <v>186.58</v>
      </c>
      <c r="V12" vm="1460">
        <f ca="1"/>
        <v>188.15</v>
      </c>
      <c r="W12" vm="1436">
        <f ca="1"/>
        <v>187.62</v>
      </c>
      <c r="X12" vm="1701">
        <f ca="1"/>
        <v>187.85</v>
      </c>
      <c r="Y12" vm="1702">
        <f ca="1"/>
        <v>185.56</v>
      </c>
      <c r="Z12" vm="1703">
        <f ca="1"/>
        <v>188.38</v>
      </c>
      <c r="AA12" vm="1704">
        <f ca="1"/>
        <v>187.95</v>
      </c>
      <c r="AB12" vm="1705">
        <f ca="1"/>
        <v>188.06</v>
      </c>
      <c r="AC12" vm="1706">
        <f ca="1"/>
        <v>188.2</v>
      </c>
      <c r="AD12" vm="1707">
        <f ca="1"/>
        <v>190.03</v>
      </c>
      <c r="AE12" vm="1708">
        <f ca="1"/>
        <v>189.71</v>
      </c>
      <c r="AF12" vm="1709">
        <f ca="1"/>
        <v>187.9</v>
      </c>
      <c r="AG12" vm="1710">
        <f ca="1"/>
        <v>185.36</v>
      </c>
      <c r="AH12" vm="1711">
        <f ca="1"/>
        <v>190.46</v>
      </c>
      <c r="AI12" vm="1712">
        <f ca="1"/>
        <v>189.64</v>
      </c>
      <c r="AJ12" vm="1713">
        <f ca="1"/>
        <v>185.48</v>
      </c>
      <c r="AK12" vm="1714">
        <f ca="1"/>
        <v>187.18</v>
      </c>
      <c r="AL12" vm="1715">
        <f ca="1"/>
        <v>185.93</v>
      </c>
      <c r="AM12" vm="1716">
        <f ca="1"/>
        <v>181.9</v>
      </c>
      <c r="AN12" vm="1717">
        <f ca="1"/>
        <v>181.38</v>
      </c>
      <c r="AO12" vm="1718">
        <f ca="1"/>
        <v>181.97</v>
      </c>
      <c r="AP12" vm="1445">
        <f ca="1"/>
        <v>183.22</v>
      </c>
      <c r="AQ12" vm="1719">
        <f ca="1"/>
        <v>185.39</v>
      </c>
      <c r="AR12" vm="1720">
        <f ca="1"/>
        <v>187.16</v>
      </c>
      <c r="AS12" vm="1721">
        <f ca="1"/>
        <v>186.43</v>
      </c>
      <c r="AT12" vm="1722">
        <f ca="1"/>
        <v>184.54</v>
      </c>
      <c r="AU12" vm="1723">
        <f ca="1"/>
        <v>184.08</v>
      </c>
      <c r="AV12" vm="1724">
        <f ca="1"/>
        <v>183.07</v>
      </c>
      <c r="AW12" vm="1725">
        <f ca="1"/>
        <v>188.75</v>
      </c>
      <c r="AX12" vm="1726">
        <f ca="1"/>
        <v>188.98</v>
      </c>
      <c r="AY12" vm="1727">
        <f ca="1"/>
        <v>181.75</v>
      </c>
      <c r="AZ12" vm="1728">
        <f ca="1"/>
        <v>183.74</v>
      </c>
      <c r="BA12" vm="1729">
        <f ca="1"/>
        <v>178.61</v>
      </c>
      <c r="BB12" vm="1730">
        <f ca="1"/>
        <v>178.76</v>
      </c>
      <c r="BC12" vm="1442">
        <f ca="1"/>
        <v>180.03</v>
      </c>
      <c r="BD12" vm="1731">
        <f ca="1"/>
        <v>181.32</v>
      </c>
      <c r="BE12" vm="1732">
        <f ca="1"/>
        <v>183.37</v>
      </c>
      <c r="BF12" vm="1733">
        <f ca="1"/>
        <v>186.41</v>
      </c>
      <c r="BG12" vm="1734">
        <f ca="1"/>
        <v>185.14</v>
      </c>
      <c r="BH12" vm="1735">
        <f ca="1"/>
        <v>187.99</v>
      </c>
      <c r="BI12" vm="1736">
        <f ca="1"/>
        <v>183.82</v>
      </c>
      <c r="BJ12" vm="1737">
        <f ca="1"/>
        <v>185.49</v>
      </c>
      <c r="BK12" vm="1738">
        <f ca="1"/>
        <v>187.87</v>
      </c>
      <c r="BL12" vm="1739">
        <f ca="1"/>
        <v>187.14</v>
      </c>
      <c r="BM12" vm="1740">
        <f ca="1"/>
        <v>190.09</v>
      </c>
      <c r="BN12" vm="1741">
        <f ca="1"/>
        <v>191.23</v>
      </c>
      <c r="BO12" vm="1742">
        <f ca="1"/>
        <v>185.51</v>
      </c>
      <c r="BP12" vm="1743">
        <f ca="1"/>
        <v>186.07</v>
      </c>
      <c r="BQ12" vm="1744">
        <f ca="1"/>
        <v>183.54</v>
      </c>
      <c r="BR12" vm="1745">
        <f ca="1"/>
        <v>184.92</v>
      </c>
      <c r="BS12" vm="1746">
        <f ca="1"/>
        <v>183.08</v>
      </c>
      <c r="BT12" vm="1747">
        <f ca="1"/>
        <v>208.77</v>
      </c>
      <c r="BU12" vm="1748">
        <f ca="1"/>
        <v>212.51</v>
      </c>
      <c r="BV12" vm="1749">
        <f ca="1"/>
        <v>209.94</v>
      </c>
      <c r="BW12" vm="1750">
        <f ca="1"/>
        <v>209.18</v>
      </c>
      <c r="BX12" vm="1751">
        <f ca="1"/>
        <v>210.09</v>
      </c>
      <c r="BY12" vm="1752">
        <f ca="1"/>
        <v>208.76</v>
      </c>
      <c r="BZ12" vm="1753">
        <f ca="1"/>
        <v>216.38</v>
      </c>
      <c r="CA12" vm="1754">
        <f ca="1"/>
        <v>215.18</v>
      </c>
      <c r="CB12" vm="1755">
        <f ca="1"/>
        <v>215.24</v>
      </c>
      <c r="CC12" vm="429">
        <f ca="1"/>
        <v>211.65</v>
      </c>
      <c r="CD12" vm="1756">
        <f ca="1"/>
        <v>212.02</v>
      </c>
      <c r="CE12" vm="390">
        <f ca="1"/>
        <v>207.91</v>
      </c>
      <c r="CF12" vm="1757">
        <f ca="1"/>
        <v>209.11</v>
      </c>
      <c r="CG12" vm="1758">
        <f ca="1"/>
        <v>208.21</v>
      </c>
      <c r="CH12" vm="1759">
        <f ca="1"/>
        <v>211.98</v>
      </c>
      <c r="CI12" vm="1760">
        <f ca="1"/>
        <v>208.05</v>
      </c>
      <c r="CJ12" vm="1673">
        <f ca="1"/>
        <v>208.55</v>
      </c>
      <c r="CK12" vm="1761">
        <f ca="1"/>
        <v>214.81</v>
      </c>
      <c r="CL12" vm="1762">
        <f ca="1"/>
        <v>207.87</v>
      </c>
      <c r="CM12" vm="1763">
        <f ca="1"/>
        <v>204.33</v>
      </c>
      <c r="CN12" vm="1764">
        <f ca="1"/>
        <v>201.93</v>
      </c>
      <c r="CO12" vm="326">
        <f ca="1"/>
        <v>203.8</v>
      </c>
      <c r="CP12" vm="1765">
        <f ca="1"/>
        <v>205.33</v>
      </c>
      <c r="CQ12" vm="1766">
        <f ca="1"/>
        <v>203.63</v>
      </c>
      <c r="CR12" vm="1767">
        <f ca="1"/>
        <v>204.57</v>
      </c>
      <c r="CS12" vm="1768">
        <f ca="1"/>
        <v>206.5</v>
      </c>
      <c r="CT12" vm="1769">
        <f ca="1"/>
        <v>204.32</v>
      </c>
      <c r="CU12" vm="1770">
        <f ca="1"/>
        <v>208.86</v>
      </c>
      <c r="CV12" vm="1771">
        <f ca="1"/>
        <v>209.63</v>
      </c>
      <c r="CW12" vm="1772">
        <f ca="1"/>
        <v>213.47</v>
      </c>
      <c r="CX12" vm="1773">
        <f ca="1"/>
        <v>213.51</v>
      </c>
      <c r="CY12" vm="484">
        <f ca="1"/>
        <v>217.95</v>
      </c>
      <c r="CZ12" vm="1774">
        <f ca="1"/>
        <v>215.89</v>
      </c>
      <c r="DA12" vm="1775">
        <f ca="1"/>
        <v>214.29</v>
      </c>
      <c r="DB12" vm="1776">
        <f ca="1"/>
        <v>210.47</v>
      </c>
      <c r="DC12" vm="1777">
        <f ca="1"/>
        <v>207.25</v>
      </c>
      <c r="DD12" vm="1778">
        <f ca="1"/>
        <v>210.13</v>
      </c>
      <c r="DE12" vm="1779">
        <f ca="1"/>
        <v>211.1</v>
      </c>
      <c r="DF12" vm="1780">
        <f ca="1"/>
        <v>208.93</v>
      </c>
      <c r="DG12" vm="1781">
        <f ca="1"/>
        <v>194.58</v>
      </c>
      <c r="DH12" vm="1782">
        <f ca="1"/>
        <v>197.53</v>
      </c>
      <c r="DI12" vm="1783">
        <f ca="1"/>
        <v>196.25</v>
      </c>
      <c r="DJ12" vm="1784">
        <f ca="1"/>
        <v>208.13</v>
      </c>
      <c r="DK12" vm="1785">
        <f ca="1"/>
        <v>204.41</v>
      </c>
      <c r="DL12" vm="1786">
        <f ca="1"/>
        <v>212.07</v>
      </c>
      <c r="DM12" vm="1787">
        <f ca="1"/>
        <v>212.95</v>
      </c>
      <c r="DN12" vm="1788">
        <f ca="1"/>
        <v>214.6</v>
      </c>
      <c r="DO12" vm="1789">
        <f ca="1"/>
        <v>211.4</v>
      </c>
      <c r="DP12" vm="402">
        <f ca="1"/>
        <v>212.77</v>
      </c>
      <c r="DQ12" vm="1790">
        <f ca="1"/>
        <v>205.16</v>
      </c>
      <c r="DR12" vm="1791">
        <f ca="1"/>
        <v>209.97</v>
      </c>
      <c r="DS12" vm="1792">
        <f ca="1"/>
        <v>213.3</v>
      </c>
      <c r="DT12" vm="433">
        <f ca="1"/>
        <v>222.69</v>
      </c>
      <c r="DU12" vm="1793">
        <f ca="1"/>
        <v>225.38</v>
      </c>
      <c r="DV12" vm="1794">
        <f ca="1"/>
        <v>225.55</v>
      </c>
      <c r="DW12" vm="298">
        <f ca="1"/>
        <v>230.71</v>
      </c>
      <c r="DX12" vm="1795">
        <f ca="1"/>
        <v>233.32</v>
      </c>
      <c r="DY12" vm="1796">
        <f ca="1"/>
        <v>235.17</v>
      </c>
      <c r="DZ12" vm="1797">
        <f ca="1"/>
        <v>219.5</v>
      </c>
      <c r="EA12" vm="1798">
        <f ca="1"/>
        <v>225.32</v>
      </c>
      <c r="EB12" vm="1799">
        <f ca="1"/>
        <v>231.84</v>
      </c>
      <c r="EC12" vm="1800">
        <f ca="1"/>
        <v>226.34</v>
      </c>
      <c r="ED12" vm="1801">
        <f ca="1"/>
        <v>225.45</v>
      </c>
      <c r="EE12" vm="1802">
        <f ca="1"/>
        <v>226.55</v>
      </c>
      <c r="EF12" vm="1803">
        <f ca="1"/>
        <v>226.25</v>
      </c>
      <c r="EG12" vm="1804">
        <f ca="1"/>
        <v>226.16</v>
      </c>
      <c r="EH12" vm="1805">
        <f ca="1"/>
        <v>229.5</v>
      </c>
      <c r="EI12" vm="1806">
        <f ca="1"/>
        <v>232.34</v>
      </c>
      <c r="EJ12" vm="1807">
        <f ca="1"/>
        <v>226.74</v>
      </c>
      <c r="EK12" vm="1808">
        <f ca="1"/>
        <v>234.66</v>
      </c>
      <c r="EL12" vm="1809">
        <f ca="1"/>
        <v>237.5</v>
      </c>
      <c r="EM12" vm="1810">
        <f ca="1"/>
        <v>226.76</v>
      </c>
      <c r="EN12" vm="1811">
        <f ca="1"/>
        <v>226.01</v>
      </c>
      <c r="EO12" vm="1812">
        <f ca="1"/>
        <v>224.99</v>
      </c>
      <c r="EP12" vm="1813">
        <f ca="1"/>
        <v>226.27</v>
      </c>
      <c r="EQ12" vm="1814">
        <f ca="1"/>
        <v>228.33</v>
      </c>
      <c r="ER12" vm="1815">
        <f ca="1"/>
        <v>225.39</v>
      </c>
      <c r="ES12" vm="1816">
        <f ca="1"/>
        <v>226.28</v>
      </c>
      <c r="ET12" vm="1817">
        <f ca="1"/>
        <v>227.6</v>
      </c>
      <c r="EU12" vm="1818">
        <f ca="1"/>
        <v>229.65</v>
      </c>
      <c r="EV12" vm="1819">
        <f ca="1"/>
        <v>229.18</v>
      </c>
      <c r="EW12" vm="437">
        <f ca="1"/>
        <v>231.03</v>
      </c>
      <c r="EX12" vm="1820">
        <f ca="1"/>
        <v>232.72</v>
      </c>
      <c r="EY12" vm="1821">
        <f ca="1"/>
        <v>233.5</v>
      </c>
      <c r="EZ12" vm="1822">
        <f ca="1"/>
        <v>234.91</v>
      </c>
      <c r="FA12" vm="1823">
        <f ca="1"/>
        <v>234.74</v>
      </c>
      <c r="FB12" vm="1824">
        <f ca="1"/>
        <v>234.46</v>
      </c>
      <c r="FC12" vm="1825">
        <f ca="1"/>
        <v>230.23</v>
      </c>
      <c r="FD12" vm="1826">
        <f ca="1"/>
        <v>238.6</v>
      </c>
      <c r="FE12" vm="1827">
        <f ca="1"/>
        <v>237.52</v>
      </c>
      <c r="FF12" vm="1828">
        <f ca="1"/>
        <v>238.5</v>
      </c>
      <c r="FG12" vm="1829">
        <f ca="1"/>
        <v>238.37</v>
      </c>
      <c r="FH12" vm="1830">
        <f ca="1"/>
        <v>241.59</v>
      </c>
      <c r="FI12" vm="1831">
        <f ca="1"/>
        <v>243.05</v>
      </c>
      <c r="FJ12" vm="1832">
        <f ca="1"/>
        <v>241.64</v>
      </c>
      <c r="FK12" vm="1833">
        <f ca="1"/>
        <v>239.33</v>
      </c>
      <c r="FL12" vm="1834">
        <f ca="1"/>
        <v>241.44</v>
      </c>
      <c r="FM12" vm="1835">
        <f ca="1"/>
        <v>242.85</v>
      </c>
      <c r="FN12" vm="1836">
        <f ca="1"/>
        <v>240.1</v>
      </c>
      <c r="FO12" vm="1837">
        <f ca="1"/>
        <v>239.51</v>
      </c>
      <c r="FP12" vm="1838">
        <f ca="1"/>
        <v>240.11</v>
      </c>
      <c r="FQ12" vm="1839">
        <f ca="1"/>
        <v>242.53</v>
      </c>
      <c r="FR12" vm="1840">
        <f ca="1"/>
        <v>240.56</v>
      </c>
      <c r="FS12" vm="1841">
        <f ca="1"/>
        <v>242.23</v>
      </c>
      <c r="FT12" vm="1842">
        <f ca="1"/>
        <v>235.33</v>
      </c>
      <c r="FU12" vm="1843">
        <f ca="1"/>
        <v>233.92</v>
      </c>
      <c r="FV12" vm="1844">
        <f ca="1"/>
        <v>238.46</v>
      </c>
      <c r="FW12" vm="1845">
        <f ca="1"/>
        <v>237.7</v>
      </c>
      <c r="FX12" vm="1846">
        <f ca="1"/>
        <v>238.73</v>
      </c>
      <c r="FY12" vm="1843">
        <f ca="1"/>
        <v>233.92</v>
      </c>
      <c r="FZ12" vm="1847">
        <f ca="1"/>
        <v>231.18</v>
      </c>
      <c r="GA12" vm="1848">
        <f ca="1"/>
        <v>231.63</v>
      </c>
      <c r="GB12" vm="1849">
        <f ca="1"/>
        <v>231.07</v>
      </c>
      <c r="GC12" vm="1850">
        <f ca="1"/>
        <v>228.73</v>
      </c>
      <c r="GD12" vm="1851">
        <f ca="1"/>
        <v>225.75</v>
      </c>
      <c r="GE12" vm="1852">
        <f ca="1"/>
        <v>224.75</v>
      </c>
      <c r="GF12" vm="1853">
        <f ca="1"/>
        <v>226.1</v>
      </c>
      <c r="GG12" vm="1854">
        <f ca="1"/>
        <v>223.98</v>
      </c>
      <c r="GH12" vm="440">
        <f ca="1"/>
        <v>223.81</v>
      </c>
      <c r="GI12" vm="1855">
        <f ca="1"/>
        <v>222.73</v>
      </c>
      <c r="GJ12" vm="1856">
        <f ca="1"/>
        <v>220.58</v>
      </c>
      <c r="GK12" vm="449">
        <f ca="1"/>
        <v>225.99</v>
      </c>
      <c r="GL12" vm="1857">
        <f ca="1"/>
        <v>225.92</v>
      </c>
      <c r="GM12" vm="1858">
        <f ca="1"/>
        <v>227.21</v>
      </c>
      <c r="GN12" vm="1859">
        <f ca="1"/>
        <v>226.49</v>
      </c>
      <c r="GO12" vm="1860">
        <f ca="1"/>
        <v>217.37</v>
      </c>
      <c r="GP12" vm="1861">
        <f ca="1"/>
        <v>222.67</v>
      </c>
      <c r="GQ12" vm="1862">
        <f ca="1"/>
        <v>232.56</v>
      </c>
      <c r="GR12" vm="1863">
        <f ca="1"/>
        <v>236.14</v>
      </c>
      <c r="GS12" vm="1864">
        <f ca="1"/>
        <v>233.16</v>
      </c>
      <c r="GT12" vm="1865">
        <f ca="1"/>
        <v>232.18</v>
      </c>
      <c r="GU12" vm="1866">
        <f ca="1"/>
        <v>232.55</v>
      </c>
      <c r="GV12" vm="1867">
        <f ca="1"/>
        <v>228.36</v>
      </c>
      <c r="GW12" vm="1868">
        <f ca="1"/>
        <v>228.67</v>
      </c>
      <c r="GX12" vm="1869">
        <f ca="1"/>
        <v>227.87</v>
      </c>
      <c r="GY12" vm="1870">
        <f ca="1"/>
        <v>229.03</v>
      </c>
      <c r="GZ12" vm="1871">
        <f ca="1"/>
        <v>231.83</v>
      </c>
      <c r="HA12" vm="1872">
        <f ca="1"/>
        <v>230.82</v>
      </c>
      <c r="HB12" vm="1873">
        <f ca="1"/>
        <v>232.03</v>
      </c>
      <c r="HC12" vm="1874">
        <f ca="1"/>
        <v>234.9</v>
      </c>
      <c r="HD12" vm="1875">
        <f ca="1"/>
        <v>233.27</v>
      </c>
      <c r="HE12" vm="1876">
        <f ca="1"/>
        <v>240.95</v>
      </c>
      <c r="HF12" vm="1877">
        <f ca="1"/>
        <v>238.86</v>
      </c>
      <c r="HG12" vm="1878">
        <f ca="1"/>
        <v>240.65</v>
      </c>
      <c r="HH12" vm="1879">
        <f ca="1"/>
        <v>239.68</v>
      </c>
      <c r="HI12" vm="1880">
        <f ca="1"/>
        <v>248.78</v>
      </c>
      <c r="HJ12" vm="1881">
        <f ca="1"/>
        <v>247.86</v>
      </c>
      <c r="HK12" vm="1882">
        <f ca="1"/>
        <v>244.04</v>
      </c>
      <c r="HL12" vm="1883">
        <f ca="1"/>
        <v>246.54</v>
      </c>
      <c r="HM12" vm="1884">
        <f ca="1"/>
        <v>246.26</v>
      </c>
      <c r="HN12" vm="1885">
        <f ca="1"/>
        <v>247.25</v>
      </c>
      <c r="HO12" vm="1886">
        <f ca="1"/>
        <v>247.73</v>
      </c>
      <c r="HP12" vm="1887">
        <f ca="1"/>
        <v>250.52</v>
      </c>
      <c r="HQ12" vm="1888">
        <f ca="1"/>
        <v>249.74</v>
      </c>
      <c r="HR12" vm="1889">
        <f ca="1"/>
        <v>250.85</v>
      </c>
      <c r="HS12" vm="1890">
        <f ca="1"/>
        <v>251.64</v>
      </c>
      <c r="HT12" vm="1891">
        <f ca="1"/>
        <v>251.28</v>
      </c>
      <c r="HU12" vm="1892">
        <f ca="1"/>
        <v>244.12</v>
      </c>
      <c r="HV12" vm="1893">
        <f ca="1"/>
        <v>245.11</v>
      </c>
      <c r="HW12" vm="1894">
        <f ca="1"/>
        <v>256.12</v>
      </c>
      <c r="HX12" vm="1895">
        <f ca="1"/>
        <v>259.95999999999998</v>
      </c>
      <c r="HY12" vm="1896">
        <f ca="1"/>
        <v>258.36</v>
      </c>
      <c r="HZ12" vm="1897">
        <f ca="1"/>
        <v>255.4</v>
      </c>
      <c r="IA12" vm="1898">
        <f ca="1"/>
        <v>256.94</v>
      </c>
      <c r="IB12" vm="1899">
        <f ca="1"/>
        <v>257.68</v>
      </c>
      <c r="IC12" vm="1900">
        <f ca="1"/>
        <v>256.98</v>
      </c>
      <c r="ID12" vm="1901">
        <f ca="1"/>
        <v>260.5</v>
      </c>
      <c r="IE12" vm="1902">
        <f ca="1"/>
        <v>258.07</v>
      </c>
      <c r="IF12" vm="1903">
        <f ca="1"/>
        <v>256.69</v>
      </c>
      <c r="IG12" vm="1904">
        <f ca="1"/>
        <v>251.97</v>
      </c>
      <c r="IH12" vm="1905">
        <f ca="1"/>
        <v>256.68</v>
      </c>
      <c r="II12" vm="1906">
        <f ca="1"/>
        <v>257.72000000000003</v>
      </c>
      <c r="IJ12" vm="1907">
        <f ca="1"/>
        <v>261.5</v>
      </c>
      <c r="IK12" vm="1908">
        <f ca="1"/>
        <v>259.23</v>
      </c>
      <c r="IL12" vm="1909">
        <f ca="1"/>
        <v>261.35000000000002</v>
      </c>
      <c r="IM12" vm="1910">
        <f ca="1"/>
        <v>262.29000000000002</v>
      </c>
      <c r="IN12" vm="1911">
        <f ca="1"/>
        <v>260.27999999999997</v>
      </c>
      <c r="IO12" vm="1912">
        <f ca="1"/>
        <v>255.56</v>
      </c>
      <c r="IP12" vm="1913">
        <f ca="1"/>
        <v>254.53</v>
      </c>
      <c r="IQ12" vm="1914">
        <f ca="1"/>
        <v>255.12</v>
      </c>
      <c r="IR12" vm="1915">
        <f ca="1"/>
        <v>254.27</v>
      </c>
      <c r="IS12" vm="1916">
        <f ca="1"/>
        <v>251.57</v>
      </c>
      <c r="IT12" vm="1917">
        <f ca="1"/>
        <v>251.73</v>
      </c>
      <c r="IU12" vm="1918">
        <f ca="1"/>
        <v>252.78</v>
      </c>
      <c r="IV12" vm="1919">
        <f ca="1"/>
        <v>256.37</v>
      </c>
      <c r="IW12" vm="1920">
        <f ca="1"/>
        <v>255.65</v>
      </c>
      <c r="IX12" vm="1921">
        <f ca="1"/>
        <v>252.43</v>
      </c>
      <c r="IY12" vm="1922">
        <f ca="1"/>
        <v>254.76</v>
      </c>
      <c r="IZ12" vm="1923">
        <f ca="1"/>
        <v>252.4</v>
      </c>
      <c r="JA12" vm="1924">
        <f ca="1"/>
        <v>232</v>
      </c>
    </row>
    <row r="13" spans="1:266" ht="20" customHeight="1" x14ac:dyDescent="0.2">
      <c r="H13" s="7"/>
    </row>
    <row r="14" spans="1:266" x14ac:dyDescent="0.2">
      <c r="B14" s="21" t="s">
        <v>26</v>
      </c>
      <c r="C14" s="20"/>
      <c r="D14" s="20"/>
      <c r="E14" s="20"/>
      <c r="F14" s="20"/>
      <c r="G14" s="20"/>
      <c r="H14" s="20"/>
      <c r="I14" s="20"/>
      <c r="J14" s="20" t="s">
        <v>19</v>
      </c>
      <c r="K14" s="20"/>
    </row>
    <row r="15" spans="1:266" x14ac:dyDescent="0.2">
      <c r="B15" s="6" t="s">
        <v>14</v>
      </c>
      <c r="C15" s="6" t="s">
        <v>16</v>
      </c>
      <c r="D15" s="6"/>
      <c r="E15" s="6"/>
      <c r="F15" s="6"/>
      <c r="G15" s="6"/>
      <c r="H15" s="6"/>
      <c r="I15" s="6"/>
      <c r="J15" s="6"/>
      <c r="K15" s="6"/>
      <c r="N15" t="s">
        <v>19</v>
      </c>
    </row>
    <row r="16" spans="1:266" ht="30" customHeight="1" x14ac:dyDescent="0.2">
      <c r="B16" t="str" cm="1">
        <f t="array" aca="1" ref="B16:B20" ca="1">_xlfn.UNIQUE(_xlfn.ANCHORARRAY(C6))</f>
        <v>Diversified Retail</v>
      </c>
      <c r="C16" s="9" cm="1">
        <f t="array" aca="1" ref="C16:C20" ca="1">SUMIF(_xlfn.ANCHORARRAY(C6),_xlfn.ANCHORARRAY(B16),_xlfn.ANCHORARRAY(G6))</f>
        <v>51.326099999999997</v>
      </c>
    </row>
    <row r="17" spans="2:3" ht="30" customHeight="1" x14ac:dyDescent="0.2">
      <c r="B17" t="str">
        <f ca="1"/>
        <v>Banking Services</v>
      </c>
      <c r="C17" s="9">
        <f ca="1"/>
        <v>65.489999999999995</v>
      </c>
    </row>
    <row r="18" spans="2:3" ht="30" customHeight="1" x14ac:dyDescent="0.2">
      <c r="B18" t="str">
        <f ca="1"/>
        <v>ETF</v>
      </c>
      <c r="C18" s="9">
        <f ca="1"/>
        <v>470.77095000000003</v>
      </c>
    </row>
    <row r="19" spans="2:3" ht="30" customHeight="1" x14ac:dyDescent="0.2">
      <c r="B19" t="str">
        <f ca="1"/>
        <v>Semiconductors &amp; Semiconductor Equipment</v>
      </c>
      <c r="C19" s="9">
        <f ca="1"/>
        <v>188.14999999999998</v>
      </c>
    </row>
    <row r="20" spans="2:3" ht="30" customHeight="1" x14ac:dyDescent="0.2">
      <c r="B20" t="str">
        <f ca="1"/>
        <v>Software &amp; IT Services</v>
      </c>
      <c r="C20" s="9">
        <f ca="1"/>
        <v>544.04499999999996</v>
      </c>
    </row>
  </sheetData>
  <conditionalFormatting sqref="C16:C20">
    <cfRule type="dataBar" priority="1">
      <dataBar>
        <cfvo type="min"/>
        <cfvo type="max"/>
        <color rgb="FF638EC6"/>
      </dataBar>
      <extLst>
        <ext xmlns:x14="http://schemas.microsoft.com/office/spreadsheetml/2009/9/main" uri="{B025F937-C7B1-47D3-B67F-A62EFF666E3E}">
          <x14:id>{E9969F80-4595-9C43-B010-A0ACC7DC6298}</x14:id>
        </ext>
      </extLst>
    </cfRule>
  </conditionalFormatting>
  <conditionalFormatting sqref="G6:G12">
    <cfRule type="dataBar" priority="3">
      <dataBar>
        <cfvo type="min"/>
        <cfvo type="max"/>
        <color rgb="FF638EC6"/>
      </dataBar>
      <extLst>
        <ext xmlns:x14="http://schemas.microsoft.com/office/spreadsheetml/2009/9/main" uri="{B025F937-C7B1-47D3-B67F-A62EFF666E3E}">
          <x14:id>{54D51DE3-8D16-9549-B6A7-3F87F7BE53B7}</x14:id>
        </ext>
      </extLst>
    </cfRule>
  </conditionalFormatting>
  <pageMargins left="0.7" right="0.7" top="0.75" bottom="0.75" header="0.3" footer="0.3"/>
  <pageSetup paperSize="9" orientation="portrait" horizontalDpi="0" verticalDpi="0"/>
  <drawing r:id="rId1"/>
  <extLst>
    <ext xmlns:x14="http://schemas.microsoft.com/office/spreadsheetml/2009/9/main" uri="{78C0D931-6437-407d-A8EE-F0AAD7539E65}">
      <x14:conditionalFormattings>
        <x14:conditionalFormatting xmlns:xm="http://schemas.microsoft.com/office/excel/2006/main">
          <x14:cfRule type="dataBar" id="{E9969F80-4595-9C43-B010-A0ACC7DC6298}">
            <x14:dataBar minLength="0" maxLength="100" border="1" negativeBarBorderColorSameAsPositive="0">
              <x14:cfvo type="autoMin"/>
              <x14:cfvo type="autoMax"/>
              <x14:borderColor rgb="FF638EC6"/>
              <x14:negativeFillColor rgb="FFFF0000"/>
              <x14:negativeBorderColor rgb="FFFF0000"/>
              <x14:axisColor rgb="FF000000"/>
            </x14:dataBar>
          </x14:cfRule>
          <xm:sqref>C16:C20</xm:sqref>
        </x14:conditionalFormatting>
        <x14:conditionalFormatting xmlns:xm="http://schemas.microsoft.com/office/excel/2006/main">
          <x14:cfRule type="dataBar" id="{54D51DE3-8D16-9549-B6A7-3F87F7BE53B7}">
            <x14:dataBar minLength="0" maxLength="100" border="1" negativeBarBorderColorSameAsPositive="0">
              <x14:cfvo type="autoMin"/>
              <x14:cfvo type="autoMax"/>
              <x14:borderColor rgb="FF638EC6"/>
              <x14:negativeFillColor rgb="FFFF0000"/>
              <x14:negativeBorderColor rgb="FFFF0000"/>
              <x14:axisColor theme="7" tint="0.39997558519241921"/>
            </x14:dataBar>
          </x14:cfRule>
          <xm:sqref>G6:G12</xm:sqref>
        </x14:conditionalFormatting>
        <x14:conditionalFormatting xmlns:xm="http://schemas.microsoft.com/office/excel/2006/main">
          <x14:cfRule type="iconSet" priority="6" id="{410AB342-00C4-7749-BF9A-0B61C0F1D2BA}">
            <x14:iconSet iconSet="3Triangles" custom="1">
              <x14:cfvo type="percent">
                <xm:f>0</xm:f>
              </x14:cfvo>
              <x14:cfvo type="num">
                <xm:f>0</xm:f>
              </x14:cfvo>
              <x14:cfvo type="num" gte="0">
                <xm:f>0</xm:f>
              </x14:cfvo>
              <x14:cfIcon iconSet="3Triangles" iconId="0"/>
              <x14:cfIcon iconSet="3Triangles" iconId="1"/>
              <x14:cfIcon iconSet="3Triangles" iconId="2"/>
            </x14:iconSet>
          </x14:cfRule>
          <xm:sqref>I2</xm:sqref>
        </x14:conditionalFormatting>
        <x14:conditionalFormatting xmlns:xm="http://schemas.microsoft.com/office/excel/2006/main">
          <x14:cfRule type="iconSet" priority="5" id="{78842702-0906-4D42-A9E0-94E1F5E7C464}">
            <x14:iconSet iconSet="3Triangles" custom="1">
              <x14:cfvo type="percent">
                <xm:f>0</xm:f>
              </x14:cfvo>
              <x14:cfvo type="num">
                <xm:f>0</xm:f>
              </x14:cfvo>
              <x14:cfvo type="num">
                <xm:f>0</xm:f>
              </x14:cfvo>
              <x14:cfIcon iconSet="3Triangles" iconId="0"/>
              <x14:cfIcon iconSet="3Triangles" iconId="1"/>
              <x14:cfIcon iconSet="3Triangles" iconId="2"/>
            </x14:iconSet>
          </x14:cfRule>
          <xm:sqref>I6:I12</xm:sqref>
        </x14:conditionalFormatting>
      </x14:conditionalFormattings>
    </ext>
    <ext xmlns:x14="http://schemas.microsoft.com/office/spreadsheetml/2009/9/main" uri="{05C60535-1F16-4fd2-B633-F4F36F0B64E0}">
      <x14:sparklineGroups xmlns:xm="http://schemas.microsoft.com/office/excel/2006/main">
        <x14:sparklineGroup lineWeight="1" displayEmptyCellsAs="gap" xr2:uid="{5E843A5A-7442-0E40-BD15-680AF6012DA0}">
          <x14:colorSeries theme="3" tint="0.34998626667073579"/>
          <x14:colorNegative theme="0" tint="-0.249977111117893"/>
          <x14:colorAxis rgb="FF000000"/>
          <x14:colorMarkers theme="0" tint="-0.249977111117893"/>
          <x14:colorFirst theme="0" tint="-0.249977111117893"/>
          <x14:colorLast theme="0" tint="-0.249977111117893"/>
          <x14:colorHigh theme="0" tint="-0.249977111117893"/>
          <x14:colorLow theme="0" tint="-0.249977111117893"/>
          <x14:sparklines>
            <x14:sparkline>
              <xm:f>Dashboard!M6:JF6</xm:f>
              <xm:sqref>K6</xm:sqref>
            </x14:sparkline>
            <x14:sparkline>
              <xm:f>Dashboard!M7:JF7</xm:f>
              <xm:sqref>K7</xm:sqref>
            </x14:sparkline>
            <x14:sparkline>
              <xm:f>Dashboard!M8:JF8</xm:f>
              <xm:sqref>K8</xm:sqref>
            </x14:sparkline>
            <x14:sparkline>
              <xm:f>Dashboard!M9:JF9</xm:f>
              <xm:sqref>K9</xm:sqref>
            </x14:sparkline>
            <x14:sparkline>
              <xm:f>Dashboard!M10:JF10</xm:f>
              <xm:sqref>K10</xm:sqref>
            </x14:sparkline>
            <x14:sparkline>
              <xm:f>Dashboard!M11:JF11</xm:f>
              <xm:sqref>K11</xm:sqref>
            </x14:sparkline>
            <x14:sparkline>
              <xm:f>Dashboard!M12:JF12</xm:f>
              <xm:sqref>K12</xm:sqref>
            </x14:sparkline>
          </x14:sparklines>
        </x14:sparklineGroup>
      </x14:sparklineGroup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C4EA0-60CF-6E4E-AB2E-98D6775095B0}">
  <dimension ref="A2:L25"/>
  <sheetViews>
    <sheetView showGridLines="0" zoomScale="101" workbookViewId="0">
      <selection activeCell="B31" sqref="B31"/>
    </sheetView>
  </sheetViews>
  <sheetFormatPr baseColWidth="10" defaultRowHeight="16" x14ac:dyDescent="0.2"/>
  <cols>
    <col min="2" max="2" width="48.5" bestFit="1" customWidth="1"/>
    <col min="3" max="3" width="13.1640625" customWidth="1"/>
    <col min="5" max="5" width="10.83203125" customWidth="1"/>
    <col min="6" max="7" width="11" customWidth="1"/>
    <col min="8" max="8" width="20" customWidth="1"/>
  </cols>
  <sheetData>
    <row r="2" spans="1:12" ht="17" thickBot="1" x14ac:dyDescent="0.25"/>
    <row r="3" spans="1:12" x14ac:dyDescent="0.2">
      <c r="A3" t="s">
        <v>0</v>
      </c>
      <c r="B3" t="s">
        <v>1</v>
      </c>
      <c r="C3" t="s">
        <v>2</v>
      </c>
      <c r="D3" t="s">
        <v>3</v>
      </c>
      <c r="E3" t="s">
        <v>4</v>
      </c>
      <c r="F3" t="s">
        <v>5</v>
      </c>
      <c r="G3" t="s">
        <v>23</v>
      </c>
      <c r="H3" t="s">
        <v>6</v>
      </c>
      <c r="I3" t="s">
        <v>11</v>
      </c>
      <c r="K3" s="22" t="e" vm="1">
        <v>#VALUE!</v>
      </c>
      <c r="L3" s="23" cm="1">
        <f t="array" aca="1" ref="L3" ca="1">_FV(K3,"Prix")</f>
        <v>1.1558999999999999</v>
      </c>
    </row>
    <row r="4" spans="1:12" ht="17" thickBot="1" x14ac:dyDescent="0.25">
      <c r="A4" s="3">
        <f>DATE(2025,1,28)</f>
        <v>45685</v>
      </c>
      <c r="B4" t="e" vm="1216">
        <v>#VALUE!</v>
      </c>
      <c r="C4" t="s">
        <v>7</v>
      </c>
      <c r="D4">
        <v>0.25</v>
      </c>
      <c r="E4">
        <v>119.64</v>
      </c>
      <c r="F4" t="s">
        <v>9</v>
      </c>
      <c r="G4">
        <f t="shared" ref="G4:G10" si="0">IF(F4="EUR",1,$K$4)</f>
        <v>1</v>
      </c>
      <c r="H4">
        <v>31</v>
      </c>
      <c r="I4" t="str" cm="1">
        <f t="array" aca="1" ref="I4" ca="1">_FV(Ledger[ [#This Row],[Stock] ],"Code mnémonique",TRUE)</f>
        <v>NVDA</v>
      </c>
      <c r="K4" s="24">
        <f ca="1">1/L3</f>
        <v>0.86512674106756648</v>
      </c>
      <c r="L4" s="25"/>
    </row>
    <row r="5" spans="1:12" x14ac:dyDescent="0.2">
      <c r="A5" s="3">
        <f>DATE(2025,2,3)</f>
        <v>45691</v>
      </c>
      <c r="B5" t="e" vm="966">
        <v>#VALUE!</v>
      </c>
      <c r="C5" t="s">
        <v>7</v>
      </c>
      <c r="D5">
        <v>7.0000000000000007E-2</v>
      </c>
      <c r="E5">
        <v>616.14</v>
      </c>
      <c r="F5" t="s">
        <v>9</v>
      </c>
      <c r="G5">
        <f t="shared" si="0"/>
        <v>1</v>
      </c>
      <c r="H5">
        <v>50</v>
      </c>
      <c r="I5" t="str" cm="1">
        <f t="array" aca="1" ref="I5" ca="1">_FV(Ledger[ [#This Row],[Stock] ],"Code mnémonique",TRUE)</f>
        <v>SXR8</v>
      </c>
    </row>
    <row r="6" spans="1:12" x14ac:dyDescent="0.2">
      <c r="A6" s="3">
        <f>DATE(2025,2,3)</f>
        <v>45691</v>
      </c>
      <c r="B6" t="e" vm="251">
        <v>#VALUE!</v>
      </c>
      <c r="C6" t="s">
        <v>7</v>
      </c>
      <c r="D6">
        <v>0.21</v>
      </c>
      <c r="E6">
        <v>227.1</v>
      </c>
      <c r="F6" t="s">
        <v>9</v>
      </c>
      <c r="G6">
        <f t="shared" si="0"/>
        <v>1</v>
      </c>
      <c r="H6">
        <v>50</v>
      </c>
      <c r="I6" t="str" cm="1">
        <f t="array" aca="1" ref="I6" ca="1">_FV(Ledger[ [#This Row],[Stock] ],"Code mnémonique",TRUE)</f>
        <v>AMZN</v>
      </c>
    </row>
    <row r="7" spans="1:12" x14ac:dyDescent="0.2">
      <c r="A7" s="3">
        <f>DATE(2025,2,4)</f>
        <v>45692</v>
      </c>
      <c r="B7" t="e" vm="1216">
        <v>#VALUE!</v>
      </c>
      <c r="C7" t="s">
        <v>7</v>
      </c>
      <c r="D7">
        <v>0.42</v>
      </c>
      <c r="E7">
        <v>113.64</v>
      </c>
      <c r="F7" t="s">
        <v>9</v>
      </c>
      <c r="G7">
        <f t="shared" si="0"/>
        <v>1</v>
      </c>
      <c r="H7">
        <v>49.01</v>
      </c>
      <c r="I7" t="str" cm="1">
        <f t="array" aca="1" ref="I7" ca="1">_FV(Ledger[ [#This Row],[Stock] ],"Code mnémonique",TRUE)</f>
        <v>NVDA</v>
      </c>
    </row>
    <row r="8" spans="1:12" x14ac:dyDescent="0.2">
      <c r="A8" s="3">
        <f>DATE(2025,2,6)</f>
        <v>45694</v>
      </c>
      <c r="B8" t="e" vm="1692">
        <v>#VALUE!</v>
      </c>
      <c r="C8" t="s">
        <v>7</v>
      </c>
      <c r="D8">
        <v>0.27</v>
      </c>
      <c r="E8">
        <v>182.98</v>
      </c>
      <c r="F8" t="s">
        <v>9</v>
      </c>
      <c r="G8">
        <f t="shared" si="0"/>
        <v>1</v>
      </c>
      <c r="H8">
        <v>50</v>
      </c>
      <c r="I8" t="str" cm="1">
        <f t="array" aca="1" ref="I8" ca="1">_FV(Ledger[ [#This Row],[Stock] ],"Code mnémonique",TRUE)</f>
        <v>TTWO</v>
      </c>
    </row>
    <row r="9" spans="1:12" x14ac:dyDescent="0.2">
      <c r="A9" s="3">
        <f>DATE(2025,2,6)</f>
        <v>45694</v>
      </c>
      <c r="B9" t="e" vm="1692">
        <v>#VALUE!</v>
      </c>
      <c r="C9" t="s">
        <v>7</v>
      </c>
      <c r="D9">
        <v>0.63</v>
      </c>
      <c r="E9">
        <v>189.72</v>
      </c>
      <c r="F9" t="s">
        <v>9</v>
      </c>
      <c r="G9">
        <f t="shared" si="0"/>
        <v>1</v>
      </c>
      <c r="H9">
        <v>121</v>
      </c>
      <c r="I9" t="str" cm="1">
        <f t="array" aca="1" ref="I9" ca="1">_FV(Ledger[ [#This Row],[Stock] ],"Code mnémonique",TRUE)</f>
        <v>TTWO</v>
      </c>
    </row>
    <row r="10" spans="1:12" x14ac:dyDescent="0.2">
      <c r="A10" s="3">
        <f>DATE(2025,2,17)</f>
        <v>45705</v>
      </c>
      <c r="B10" t="e" vm="1925">
        <v>#VALUE!</v>
      </c>
      <c r="C10" t="s">
        <v>7</v>
      </c>
      <c r="D10">
        <v>5</v>
      </c>
      <c r="E10">
        <v>5.53</v>
      </c>
      <c r="F10" t="s">
        <v>9</v>
      </c>
      <c r="G10">
        <f t="shared" si="0"/>
        <v>1</v>
      </c>
      <c r="H10">
        <v>28.65</v>
      </c>
      <c r="I10" t="str" cm="1">
        <f t="array" aca="1" ref="I10" ca="1">_FV(Ledger[ [#This Row],[Stock] ],"Code mnémonique",TRUE)</f>
        <v>3CP</v>
      </c>
    </row>
    <row r="11" spans="1:12" x14ac:dyDescent="0.2">
      <c r="A11" s="3">
        <f>DATE(2025,3,5)</f>
        <v>45721</v>
      </c>
      <c r="B11" t="e" vm="1692">
        <v>#VALUE!</v>
      </c>
      <c r="C11" t="s">
        <v>7</v>
      </c>
      <c r="D11">
        <v>0.5</v>
      </c>
      <c r="E11">
        <v>197.58</v>
      </c>
      <c r="F11" t="s">
        <v>9</v>
      </c>
      <c r="G11">
        <f t="shared" ref="G11:G23" si="1">IF(F11="EUR",1,$K$4)</f>
        <v>1</v>
      </c>
      <c r="H11">
        <v>100</v>
      </c>
      <c r="I11" t="str" cm="1">
        <f t="array" aca="1" ref="I11" ca="1">_FV(Ledger[ [#This Row],[Stock] ],"Code mnémonique",TRUE)</f>
        <v>TTWO</v>
      </c>
    </row>
    <row r="12" spans="1:12" x14ac:dyDescent="0.2">
      <c r="A12" s="3">
        <f>DATE(2025,3,5)</f>
        <v>45721</v>
      </c>
      <c r="B12" t="e" vm="966">
        <v>#VALUE!</v>
      </c>
      <c r="C12" t="s">
        <v>7</v>
      </c>
      <c r="D12">
        <v>0.08</v>
      </c>
      <c r="E12">
        <v>578.1</v>
      </c>
      <c r="F12" t="s">
        <v>9</v>
      </c>
      <c r="G12">
        <f t="shared" si="1"/>
        <v>1</v>
      </c>
      <c r="H12">
        <v>52</v>
      </c>
      <c r="I12" t="str" cm="1">
        <f t="array" aca="1" ref="I12" ca="1">_FV(Ledger[ [#This Row],[Stock] ],"Code mnémonique",TRUE)</f>
        <v>SXR8</v>
      </c>
    </row>
    <row r="13" spans="1:12" x14ac:dyDescent="0.2">
      <c r="A13" s="3">
        <f>DATE(2025,4,7)</f>
        <v>45754</v>
      </c>
      <c r="B13" t="e" vm="497">
        <v>#VALUE!</v>
      </c>
      <c r="C13" t="s">
        <v>7</v>
      </c>
      <c r="D13">
        <v>1</v>
      </c>
      <c r="E13">
        <v>65.900000000000006</v>
      </c>
      <c r="F13" t="s">
        <v>9</v>
      </c>
      <c r="G13">
        <f t="shared" si="1"/>
        <v>1</v>
      </c>
      <c r="H13">
        <v>67.16</v>
      </c>
      <c r="I13" t="str" cm="1">
        <f t="array" aca="1" ref="I13" ca="1">_FV(Ledger[ [#This Row],[Stock] ],"Code mnémonique",TRUE)</f>
        <v>BNP</v>
      </c>
    </row>
    <row r="14" spans="1:12" x14ac:dyDescent="0.2">
      <c r="A14" s="3">
        <f>DATE(2025,4,7)</f>
        <v>45754</v>
      </c>
      <c r="B14" t="e" vm="1925">
        <v>#VALUE!</v>
      </c>
      <c r="C14" t="s">
        <v>7</v>
      </c>
      <c r="D14">
        <v>2</v>
      </c>
      <c r="E14">
        <v>4.41</v>
      </c>
      <c r="F14" t="s">
        <v>9</v>
      </c>
      <c r="G14">
        <f t="shared" si="1"/>
        <v>1</v>
      </c>
      <c r="H14">
        <v>9.83</v>
      </c>
      <c r="I14" t="str" cm="1">
        <f t="array" aca="1" ref="I14" ca="1">_FV(Ledger[ [#This Row],[Stock] ],"Code mnémonique",TRUE)</f>
        <v>3CP</v>
      </c>
    </row>
    <row r="15" spans="1:12" x14ac:dyDescent="0.2">
      <c r="A15" s="3">
        <f>DATE(2025,4,17)</f>
        <v>45764</v>
      </c>
      <c r="B15" t="e" vm="728">
        <v>#VALUE!</v>
      </c>
      <c r="C15" t="s">
        <v>7</v>
      </c>
      <c r="D15">
        <v>0.35</v>
      </c>
      <c r="E15">
        <v>56.82</v>
      </c>
      <c r="F15" t="s">
        <v>9</v>
      </c>
      <c r="G15">
        <f t="shared" si="1"/>
        <v>1</v>
      </c>
      <c r="H15">
        <v>21</v>
      </c>
      <c r="I15" t="str" cm="1">
        <f t="array" aca="1" ref="I15" ca="1">_FV(Ledger[ [#This Row],[Stock] ],"Code mnémonique",TRUE)</f>
        <v>PPFB</v>
      </c>
    </row>
    <row r="16" spans="1:12" x14ac:dyDescent="0.2">
      <c r="A16" s="3">
        <f t="shared" ref="A16:A18" si="2">DATE(2025,7,15)</f>
        <v>45853</v>
      </c>
      <c r="B16" t="e" vm="1925">
        <v>#VALUE!</v>
      </c>
      <c r="C16" t="s">
        <v>8</v>
      </c>
      <c r="D16">
        <v>-7</v>
      </c>
      <c r="E16">
        <v>6.2</v>
      </c>
      <c r="F16" t="s">
        <v>9</v>
      </c>
      <c r="G16">
        <f t="shared" si="1"/>
        <v>1</v>
      </c>
      <c r="H16">
        <f>-42.42</f>
        <v>-42.42</v>
      </c>
      <c r="I16" t="str" cm="1">
        <f t="array" aca="1" ref="I16" ca="1">_FV(Ledger[ [#This Row],[Stock] ],"Code mnémonique",TRUE)</f>
        <v>3CP</v>
      </c>
    </row>
    <row r="17" spans="1:9" x14ac:dyDescent="0.2">
      <c r="A17" s="3">
        <f t="shared" si="2"/>
        <v>45853</v>
      </c>
      <c r="B17" t="e" vm="1216">
        <v>#VALUE!</v>
      </c>
      <c r="C17" t="s">
        <v>8</v>
      </c>
      <c r="D17">
        <v>-0.67</v>
      </c>
      <c r="E17">
        <v>145.80000000000001</v>
      </c>
      <c r="F17" t="s">
        <v>9</v>
      </c>
      <c r="G17">
        <f t="shared" si="1"/>
        <v>1</v>
      </c>
      <c r="H17">
        <v>-97.15</v>
      </c>
      <c r="I17" t="str" cm="1">
        <f t="array" aca="1" ref="I17" ca="1">_FV(Ledger[ [#This Row],[Stock] ],"Code mnémonique",TRUE)</f>
        <v>NVDA</v>
      </c>
    </row>
    <row r="18" spans="1:9" x14ac:dyDescent="0.2">
      <c r="A18" s="3">
        <f t="shared" si="2"/>
        <v>45853</v>
      </c>
      <c r="B18" t="e" vm="1216">
        <v>#VALUE!</v>
      </c>
      <c r="C18" t="s">
        <v>7</v>
      </c>
      <c r="D18">
        <v>1</v>
      </c>
      <c r="E18">
        <v>169.9</v>
      </c>
      <c r="F18" t="s">
        <v>10</v>
      </c>
      <c r="G18">
        <f t="shared" ca="1" si="1"/>
        <v>0.86512674106756648</v>
      </c>
      <c r="H18">
        <v>169.9</v>
      </c>
      <c r="I18" t="str" cm="1">
        <f t="array" aca="1" ref="I18" ca="1">_FV(Ledger[ [#This Row],[Stock] ],"Code mnémonique",TRUE)</f>
        <v>NVDA</v>
      </c>
    </row>
    <row r="19" spans="1:9" x14ac:dyDescent="0.2">
      <c r="A19" s="3">
        <f>DATE(2025,7,16)</f>
        <v>45854</v>
      </c>
      <c r="B19" t="e" vm="1461">
        <v>#VALUE!</v>
      </c>
      <c r="C19" t="s">
        <v>7</v>
      </c>
      <c r="D19">
        <v>1</v>
      </c>
      <c r="E19">
        <v>192.95</v>
      </c>
      <c r="F19" t="s">
        <v>10</v>
      </c>
      <c r="G19">
        <f t="shared" ca="1" si="1"/>
        <v>0.86512674106756648</v>
      </c>
      <c r="H19">
        <v>192.95</v>
      </c>
      <c r="I19" t="str" cm="1">
        <f t="array" aca="1" ref="I19" ca="1">_FV(Ledger[ [#This Row],[Stock] ],"Code mnémonique",TRUE)</f>
        <v>PANW</v>
      </c>
    </row>
    <row r="20" spans="1:9" x14ac:dyDescent="0.2">
      <c r="A20" s="3">
        <f>DATE(2025,9,1)</f>
        <v>45901</v>
      </c>
      <c r="B20" t="e" vm="966">
        <v>#VALUE!</v>
      </c>
      <c r="C20" t="s">
        <v>7</v>
      </c>
      <c r="D20">
        <v>0.27</v>
      </c>
      <c r="E20">
        <v>589.08000000000004</v>
      </c>
      <c r="F20" t="s">
        <v>10</v>
      </c>
      <c r="G20">
        <f t="shared" ca="1" si="1"/>
        <v>0.86512674106756648</v>
      </c>
      <c r="H20">
        <v>159.99</v>
      </c>
      <c r="I20" t="str" cm="1">
        <f t="array" aca="1" ref="I20" ca="1">_FV(Ledger[ [#This Row],[Stock] ],"Code mnémonique",TRUE)</f>
        <v>SXR8</v>
      </c>
    </row>
    <row r="21" spans="1:9" x14ac:dyDescent="0.2">
      <c r="A21" s="3">
        <v>45936</v>
      </c>
      <c r="B21" t="e" vm="966">
        <v>#VALUE!</v>
      </c>
      <c r="C21" t="s">
        <v>7</v>
      </c>
      <c r="D21">
        <v>0.15</v>
      </c>
      <c r="E21">
        <v>617.28</v>
      </c>
      <c r="F21" t="s">
        <v>10</v>
      </c>
      <c r="G21">
        <f t="shared" ca="1" si="1"/>
        <v>0.86512674106756648</v>
      </c>
      <c r="H21">
        <v>95</v>
      </c>
      <c r="I21" t="str" cm="1">
        <f t="array" aca="1" ref="I21" ca="1">_FV(Ledger[ [#This Row],[Stock] ],"Code mnémonique",TRUE)</f>
        <v>SXR8</v>
      </c>
    </row>
    <row r="22" spans="1:9" x14ac:dyDescent="0.2">
      <c r="A22" s="3">
        <f>DATE(2025,11,4)</f>
        <v>45965</v>
      </c>
      <c r="B22" t="e" vm="1692">
        <v>#VALUE!</v>
      </c>
      <c r="C22" t="s">
        <v>7</v>
      </c>
      <c r="D22">
        <v>0.03</v>
      </c>
      <c r="E22">
        <v>221.05</v>
      </c>
      <c r="F22" t="s">
        <v>9</v>
      </c>
      <c r="G22">
        <f t="shared" si="1"/>
        <v>1</v>
      </c>
      <c r="H22">
        <v>9.0299999999999994</v>
      </c>
      <c r="I22" t="str" cm="1">
        <f t="array" aca="1" ref="I22" ca="1">_FV(Ledger[ [#This Row],[Stock] ],"Code mnémonique",TRUE)</f>
        <v>TTWO</v>
      </c>
    </row>
    <row r="23" spans="1:9" x14ac:dyDescent="0.2">
      <c r="A23" s="3">
        <f>DATE(2025,11,6)</f>
        <v>45967</v>
      </c>
      <c r="B23" t="e" vm="966">
        <v>#VALUE!</v>
      </c>
      <c r="C23" t="s">
        <v>7</v>
      </c>
      <c r="D23">
        <v>0.15</v>
      </c>
      <c r="E23">
        <v>631.78</v>
      </c>
      <c r="F23" t="s">
        <v>10</v>
      </c>
      <c r="G23">
        <f t="shared" ca="1" si="1"/>
        <v>0.86512674106756648</v>
      </c>
      <c r="H23">
        <v>99.95</v>
      </c>
      <c r="I23" t="str" cm="1">
        <f t="array" aca="1" ref="I23" ca="1">_FV(Ledger[ [#This Row],[Stock] ],"Code mnémonique",TRUE)</f>
        <v>SXR8</v>
      </c>
    </row>
    <row r="24" spans="1:9" x14ac:dyDescent="0.2">
      <c r="A24" s="3"/>
    </row>
    <row r="25" spans="1:9" x14ac:dyDescent="0.2">
      <c r="A25" s="3"/>
    </row>
  </sheetData>
  <pageMargins left="0.7" right="0.7" top="0.75" bottom="0.75" header="0.3" footer="0.3"/>
  <pageSetup paperSize="9" orientation="portrait" horizontalDpi="0" verticalDpi="0"/>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2</vt:i4>
      </vt:variant>
    </vt:vector>
  </HeadingPairs>
  <TitlesOfParts>
    <vt:vector size="2" baseType="lpstr">
      <vt:lpstr>Dashboard</vt:lpstr>
      <vt:lpstr>Ledger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BOILLOT Karma</dc:creator>
  <cp:lastModifiedBy>BOILLOT Karma</cp:lastModifiedBy>
  <dcterms:created xsi:type="dcterms:W3CDTF">2025-11-09T16:12:08Z</dcterms:created>
  <dcterms:modified xsi:type="dcterms:W3CDTF">2025-11-09T21:16:39Z</dcterms:modified>
</cp:coreProperties>
</file>