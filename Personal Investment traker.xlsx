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defaultThemeVersion="202300"/>
  <mc:AlternateContent xmlns:mc="http://schemas.openxmlformats.org/markup-compatibility/2006">
    <mc:Choice Requires="x15">
      <x15ac:absPath xmlns:x15ac="http://schemas.microsoft.com/office/spreadsheetml/2010/11/ac" url="/Users/karmaboillot/Desktop/FINANCE/"/>
    </mc:Choice>
  </mc:AlternateContent>
  <xr:revisionPtr revIDLastSave="0" documentId="13_ncr:1_{5D19CCE3-BDF8-9C47-9CED-F5DBD16256A0}" xr6:coauthVersionLast="47" xr6:coauthVersionMax="47" xr10:uidLastSave="{00000000-0000-0000-0000-000000000000}"/>
  <bookViews>
    <workbookView xWindow="4320" yWindow="620" windowWidth="24480" windowHeight="14940" xr2:uid="{64943934-42DD-3743-AAD0-A530C8CB7E3D}"/>
  </bookViews>
  <sheets>
    <sheet name="Dashboard" sheetId="1" r:id="rId1"/>
    <sheet name="Ledg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5" i="2" l="1"/>
  <c r="I35" i="2" a="1"/>
  <c r="I35" i="2" s="1"/>
  <c r="I34" i="2" a="1"/>
  <c r="I34" i="2" s="1"/>
  <c r="G32" i="2"/>
  <c r="I33" i="2" a="1"/>
  <c r="I33" i="2" s="1"/>
  <c r="I32" i="2" a="1"/>
  <c r="I32" i="2" s="1"/>
  <c r="I31" i="2" a="1"/>
  <c r="I31" i="2" s="1"/>
  <c r="I30" i="2" a="1"/>
  <c r="I30" i="2" s="1"/>
  <c r="I29" i="2" a="1"/>
  <c r="I29" i="2" s="1"/>
  <c r="G27" i="2"/>
  <c r="H27" i="2"/>
  <c r="I28" i="2" a="1"/>
  <c r="I28" i="2" s="1"/>
  <c r="H26" i="2"/>
  <c r="E26" i="2"/>
  <c r="G26" i="2"/>
  <c r="I26" i="2" a="1"/>
  <c r="I26" i="2" s="1"/>
  <c r="A25" i="2"/>
  <c r="A24" i="2"/>
  <c r="I25" i="2" a="1"/>
  <c r="I25" i="2" s="1"/>
  <c r="G24" i="2"/>
  <c r="I24" i="2" a="1"/>
  <c r="I24" i="2" s="1"/>
  <c r="L3" i="2" a="1"/>
  <c r="L3" i="2" s="1"/>
  <c r="K4" i="2" s="1"/>
  <c r="G34" i="2" s="1"/>
  <c r="K2" i="1" a="1"/>
  <c r="K2" i="1" s="1"/>
  <c r="G10" i="2"/>
  <c r="G9" i="2"/>
  <c r="G8" i="2"/>
  <c r="G7" i="2"/>
  <c r="G6" i="2"/>
  <c r="G5" i="2"/>
  <c r="G4" i="2"/>
  <c r="G11" i="2"/>
  <c r="G12" i="2"/>
  <c r="G13" i="2"/>
  <c r="G14" i="2"/>
  <c r="G15" i="2"/>
  <c r="G16" i="2"/>
  <c r="G17" i="2"/>
  <c r="G22" i="2"/>
  <c r="H16" i="2"/>
  <c r="B6" i="1" a="1"/>
  <c r="M11" i="1" s="1" a="1"/>
  <c r="I4" i="2" a="1"/>
  <c r="I4" i="2" s="1"/>
  <c r="I5" i="2" a="1"/>
  <c r="I5" i="2" s="1"/>
  <c r="I6" i="2" a="1"/>
  <c r="I6" i="2" s="1"/>
  <c r="I7" i="2" a="1"/>
  <c r="I7" i="2" s="1"/>
  <c r="I8" i="2" a="1"/>
  <c r="I8" i="2" s="1"/>
  <c r="I9" i="2" a="1"/>
  <c r="I9" i="2" s="1"/>
  <c r="I10" i="2" a="1"/>
  <c r="I10" i="2" s="1"/>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A22" i="2"/>
  <c r="A23" i="2"/>
  <c r="A19" i="2"/>
  <c r="A20" i="2"/>
  <c r="A16" i="2"/>
  <c r="A17" i="2"/>
  <c r="A18" i="2"/>
  <c r="A15" i="2"/>
  <c r="A14" i="2"/>
  <c r="A13" i="2"/>
  <c r="A12" i="2"/>
  <c r="A11" i="2"/>
  <c r="A10" i="2"/>
  <c r="A9" i="2"/>
  <c r="A8" i="2"/>
  <c r="A7" i="2"/>
  <c r="A6" i="2"/>
  <c r="A5" i="2"/>
  <c r="A4" i="2"/>
  <c r="M7" i="1" a="1"/>
  <c r="M9" i="1" a="1"/>
  <c r="M8" i="1" a="1"/>
  <c r="M10" i="1" a="1"/>
  <c r="M12" i="1" a="1"/>
  <c r="G33" i="2" l="1"/>
  <c r="G31" i="2"/>
  <c r="G25" i="2"/>
  <c r="G30" i="2"/>
  <c r="G29" i="2"/>
  <c r="B6" i="1"/>
  <c r="G28" i="2"/>
  <c r="G20" i="2"/>
  <c r="G21" i="2"/>
  <c r="G23" i="2"/>
  <c r="G18" i="2"/>
  <c r="G19" i="2"/>
  <c r="M12" i="1"/>
  <c r="M11" i="1"/>
  <c r="M9" i="1"/>
  <c r="M10" i="1"/>
  <c r="M8" i="1"/>
  <c r="M7" i="1"/>
  <c r="M5" i="1" l="1" a="1"/>
  <c r="M5" i="1" s="1"/>
  <c r="D6" i="1" a="1"/>
  <c r="E6" i="1" a="1"/>
  <c r="C6" i="1" a="1"/>
  <c r="E6" i="1" l="1"/>
  <c r="D6" i="1"/>
  <c r="C6" i="1"/>
  <c r="F6" i="1" l="1" a="1"/>
  <c r="B16" i="1" a="1"/>
  <c r="I7" i="1" l="1" a="1"/>
  <c r="I7" i="1" s="1"/>
  <c r="I8" i="1" a="1"/>
  <c r="I8" i="1" s="1"/>
  <c r="I9" i="1" a="1"/>
  <c r="I9" i="1" s="1"/>
  <c r="I10" i="1" a="1"/>
  <c r="I10" i="1" s="1"/>
  <c r="I11" i="1" a="1"/>
  <c r="I11" i="1" s="1"/>
  <c r="I12" i="1" a="1"/>
  <c r="I12" i="1" s="1"/>
  <c r="I13" i="1" a="1"/>
  <c r="I13" i="1" s="1"/>
  <c r="H7" i="1" a="1"/>
  <c r="H7" i="1" s="1"/>
  <c r="H8" i="1" a="1"/>
  <c r="H8" i="1" s="1"/>
  <c r="H10" i="1" a="1"/>
  <c r="H10" i="1" s="1"/>
  <c r="H11" i="1" a="1"/>
  <c r="H11" i="1" s="1"/>
  <c r="H12" i="1" a="1"/>
  <c r="H12" i="1" s="1"/>
  <c r="H13" i="1" a="1"/>
  <c r="H13" i="1" s="1"/>
  <c r="H9" i="1" a="1"/>
  <c r="H9" i="1" s="1"/>
  <c r="B16" i="1"/>
  <c r="F6" i="1"/>
  <c r="G6" i="1" l="1" a="1"/>
  <c r="H6" i="1" a="1"/>
  <c r="H6" i="1" s="1"/>
  <c r="H2" i="1" s="1"/>
  <c r="I6" i="1" a="1"/>
  <c r="I6" i="1" s="1"/>
  <c r="G6" i="1" l="1"/>
  <c r="C16" i="1" s="1" a="1"/>
  <c r="C16" i="1" l="1"/>
  <c r="J6" i="1" a="1"/>
  <c r="G2" i="1"/>
  <c r="I2" i="1" s="1"/>
  <c r="J6"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956">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9"/>
        </ext>
      </extLst>
    </bk>
    <bk>
      <extLst>
        <ext uri="{3e2802c4-a4d2-4d8b-9148-e3be6c30e623}">
          <xlrd:rvb i="1972"/>
        </ext>
      </extLst>
    </bk>
    <bk>
      <extLst>
        <ext uri="{3e2802c4-a4d2-4d8b-9148-e3be6c30e623}">
          <xlrd:rvb i="1975"/>
        </ext>
      </extLst>
    </bk>
    <bk>
      <extLst>
        <ext uri="{3e2802c4-a4d2-4d8b-9148-e3be6c30e623}">
          <xlrd:rvb i="1978"/>
        </ext>
      </extLst>
    </bk>
  </futureMetadata>
  <cellMetadata count="1">
    <bk>
      <rc t="1" v="0"/>
    </bk>
  </cellMetadata>
  <valueMetadata count="195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bk>
      <rc t="2" v="879"/>
    </bk>
    <bk>
      <rc t="2" v="880"/>
    </bk>
    <bk>
      <rc t="2" v="881"/>
    </bk>
    <bk>
      <rc t="2" v="882"/>
    </bk>
    <bk>
      <rc t="2" v="883"/>
    </bk>
    <bk>
      <rc t="2" v="884"/>
    </bk>
    <bk>
      <rc t="2" v="885"/>
    </bk>
    <bk>
      <rc t="2" v="886"/>
    </bk>
    <bk>
      <rc t="2" v="887"/>
    </bk>
    <bk>
      <rc t="2" v="888"/>
    </bk>
    <bk>
      <rc t="2" v="889"/>
    </bk>
    <bk>
      <rc t="2" v="890"/>
    </bk>
    <bk>
      <rc t="2" v="891"/>
    </bk>
    <bk>
      <rc t="2" v="892"/>
    </bk>
    <bk>
      <rc t="2" v="893"/>
    </bk>
    <bk>
      <rc t="2" v="894"/>
    </bk>
    <bk>
      <rc t="2" v="895"/>
    </bk>
    <bk>
      <rc t="2" v="896"/>
    </bk>
    <bk>
      <rc t="2" v="897"/>
    </bk>
    <bk>
      <rc t="2" v="898"/>
    </bk>
    <bk>
      <rc t="2" v="899"/>
    </bk>
    <bk>
      <rc t="2" v="900"/>
    </bk>
    <bk>
      <rc t="2" v="901"/>
    </bk>
    <bk>
      <rc t="2" v="902"/>
    </bk>
    <bk>
      <rc t="2" v="903"/>
    </bk>
    <bk>
      <rc t="2" v="904"/>
    </bk>
    <bk>
      <rc t="2" v="905"/>
    </bk>
    <bk>
      <rc t="2" v="906"/>
    </bk>
    <bk>
      <rc t="2" v="907"/>
    </bk>
    <bk>
      <rc t="2" v="908"/>
    </bk>
    <bk>
      <rc t="2" v="909"/>
    </bk>
    <bk>
      <rc t="2" v="910"/>
    </bk>
    <bk>
      <rc t="2" v="911"/>
    </bk>
    <bk>
      <rc t="2" v="912"/>
    </bk>
    <bk>
      <rc t="2" v="913"/>
    </bk>
    <bk>
      <rc t="2" v="914"/>
    </bk>
    <bk>
      <rc t="2" v="915"/>
    </bk>
    <bk>
      <rc t="2" v="916"/>
    </bk>
    <bk>
      <rc t="2" v="917"/>
    </bk>
    <bk>
      <rc t="2" v="918"/>
    </bk>
    <bk>
      <rc t="2" v="919"/>
    </bk>
    <bk>
      <rc t="2" v="920"/>
    </bk>
    <bk>
      <rc t="2" v="921"/>
    </bk>
    <bk>
      <rc t="2" v="922"/>
    </bk>
    <bk>
      <rc t="2" v="923"/>
    </bk>
    <bk>
      <rc t="2" v="924"/>
    </bk>
    <bk>
      <rc t="2" v="925"/>
    </bk>
    <bk>
      <rc t="2" v="926"/>
    </bk>
    <bk>
      <rc t="2" v="927"/>
    </bk>
    <bk>
      <rc t="2" v="928"/>
    </bk>
    <bk>
      <rc t="2" v="929"/>
    </bk>
    <bk>
      <rc t="2" v="930"/>
    </bk>
    <bk>
      <rc t="2" v="931"/>
    </bk>
    <bk>
      <rc t="2" v="932"/>
    </bk>
    <bk>
      <rc t="2" v="933"/>
    </bk>
    <bk>
      <rc t="2" v="934"/>
    </bk>
    <bk>
      <rc t="2" v="935"/>
    </bk>
    <bk>
      <rc t="2" v="936"/>
    </bk>
    <bk>
      <rc t="2" v="937"/>
    </bk>
    <bk>
      <rc t="2" v="938"/>
    </bk>
    <bk>
      <rc t="2" v="939"/>
    </bk>
    <bk>
      <rc t="2" v="940"/>
    </bk>
    <bk>
      <rc t="2" v="941"/>
    </bk>
    <bk>
      <rc t="2" v="942"/>
    </bk>
    <bk>
      <rc t="2" v="943"/>
    </bk>
    <bk>
      <rc t="2" v="944"/>
    </bk>
    <bk>
      <rc t="2" v="945"/>
    </bk>
    <bk>
      <rc t="2" v="946"/>
    </bk>
    <bk>
      <rc t="2" v="947"/>
    </bk>
    <bk>
      <rc t="2" v="948"/>
    </bk>
    <bk>
      <rc t="2" v="949"/>
    </bk>
    <bk>
      <rc t="2" v="950"/>
    </bk>
    <bk>
      <rc t="2" v="951"/>
    </bk>
    <bk>
      <rc t="2" v="952"/>
    </bk>
    <bk>
      <rc t="2" v="953"/>
    </bk>
    <bk>
      <rc t="2" v="954"/>
    </bk>
    <bk>
      <rc t="2" v="955"/>
    </bk>
    <bk>
      <rc t="2" v="956"/>
    </bk>
    <bk>
      <rc t="2" v="957"/>
    </bk>
    <bk>
      <rc t="2" v="958"/>
    </bk>
    <bk>
      <rc t="2" v="959"/>
    </bk>
    <bk>
      <rc t="2" v="960"/>
    </bk>
    <bk>
      <rc t="2" v="961"/>
    </bk>
    <bk>
      <rc t="2" v="962"/>
    </bk>
    <bk>
      <rc t="2" v="963"/>
    </bk>
    <bk>
      <rc t="2" v="964"/>
    </bk>
    <bk>
      <rc t="2" v="965"/>
    </bk>
    <bk>
      <rc t="2" v="966"/>
    </bk>
    <bk>
      <rc t="2" v="967"/>
    </bk>
    <bk>
      <rc t="2" v="968"/>
    </bk>
    <bk>
      <rc t="2" v="969"/>
    </bk>
    <bk>
      <rc t="2" v="970"/>
    </bk>
    <bk>
      <rc t="2" v="971"/>
    </bk>
    <bk>
      <rc t="2" v="972"/>
    </bk>
    <bk>
      <rc t="2" v="973"/>
    </bk>
    <bk>
      <rc t="2" v="974"/>
    </bk>
    <bk>
      <rc t="2" v="975"/>
    </bk>
    <bk>
      <rc t="2" v="976"/>
    </bk>
    <bk>
      <rc t="2" v="977"/>
    </bk>
    <bk>
      <rc t="2" v="978"/>
    </bk>
    <bk>
      <rc t="2" v="979"/>
    </bk>
    <bk>
      <rc t="2" v="980"/>
    </bk>
    <bk>
      <rc t="2" v="981"/>
    </bk>
    <bk>
      <rc t="2" v="982"/>
    </bk>
    <bk>
      <rc t="2" v="983"/>
    </bk>
    <bk>
      <rc t="2" v="984"/>
    </bk>
    <bk>
      <rc t="2" v="985"/>
    </bk>
    <bk>
      <rc t="2" v="986"/>
    </bk>
    <bk>
      <rc t="2" v="987"/>
    </bk>
    <bk>
      <rc t="2" v="988"/>
    </bk>
    <bk>
      <rc t="2" v="989"/>
    </bk>
    <bk>
      <rc t="2" v="990"/>
    </bk>
    <bk>
      <rc t="2" v="991"/>
    </bk>
    <bk>
      <rc t="2" v="992"/>
    </bk>
    <bk>
      <rc t="2" v="993"/>
    </bk>
    <bk>
      <rc t="2" v="994"/>
    </bk>
    <bk>
      <rc t="2" v="995"/>
    </bk>
    <bk>
      <rc t="2" v="996"/>
    </bk>
    <bk>
      <rc t="2" v="997"/>
    </bk>
    <bk>
      <rc t="2" v="998"/>
    </bk>
    <bk>
      <rc t="2" v="999"/>
    </bk>
    <bk>
      <rc t="2" v="1000"/>
    </bk>
    <bk>
      <rc t="2" v="1001"/>
    </bk>
    <bk>
      <rc t="2" v="1002"/>
    </bk>
    <bk>
      <rc t="2" v="1003"/>
    </bk>
    <bk>
      <rc t="2" v="1004"/>
    </bk>
    <bk>
      <rc t="2" v="1005"/>
    </bk>
    <bk>
      <rc t="2" v="1006"/>
    </bk>
    <bk>
      <rc t="2" v="1007"/>
    </bk>
    <bk>
      <rc t="2" v="1008"/>
    </bk>
    <bk>
      <rc t="2" v="1009"/>
    </bk>
    <bk>
      <rc t="2" v="1010"/>
    </bk>
    <bk>
      <rc t="2" v="1011"/>
    </bk>
    <bk>
      <rc t="2" v="1012"/>
    </bk>
    <bk>
      <rc t="2" v="1013"/>
    </bk>
    <bk>
      <rc t="2" v="1014"/>
    </bk>
    <bk>
      <rc t="2" v="1015"/>
    </bk>
    <bk>
      <rc t="2" v="1016"/>
    </bk>
    <bk>
      <rc t="2" v="1017"/>
    </bk>
    <bk>
      <rc t="2" v="1018"/>
    </bk>
    <bk>
      <rc t="2" v="1019"/>
    </bk>
    <bk>
      <rc t="2" v="1020"/>
    </bk>
    <bk>
      <rc t="2" v="1021"/>
    </bk>
    <bk>
      <rc t="2" v="1022"/>
    </bk>
    <bk>
      <rc t="2" v="1023"/>
    </bk>
    <bk>
      <rc t="2" v="1024"/>
    </bk>
    <bk>
      <rc t="2" v="1025"/>
    </bk>
    <bk>
      <rc t="2" v="1026"/>
    </bk>
    <bk>
      <rc t="2" v="1027"/>
    </bk>
    <bk>
      <rc t="2" v="1028"/>
    </bk>
    <bk>
      <rc t="2" v="1029"/>
    </bk>
    <bk>
      <rc t="2" v="1030"/>
    </bk>
    <bk>
      <rc t="2" v="1031"/>
    </bk>
    <bk>
      <rc t="2" v="1032"/>
    </bk>
    <bk>
      <rc t="2" v="1033"/>
    </bk>
    <bk>
      <rc t="2" v="1034"/>
    </bk>
    <bk>
      <rc t="2" v="1035"/>
    </bk>
    <bk>
      <rc t="2" v="1036"/>
    </bk>
    <bk>
      <rc t="2" v="1037"/>
    </bk>
    <bk>
      <rc t="2" v="1038"/>
    </bk>
    <bk>
      <rc t="2" v="1039"/>
    </bk>
    <bk>
      <rc t="2" v="1040"/>
    </bk>
    <bk>
      <rc t="2" v="1041"/>
    </bk>
    <bk>
      <rc t="2" v="1042"/>
    </bk>
    <bk>
      <rc t="2" v="1043"/>
    </bk>
    <bk>
      <rc t="2" v="1044"/>
    </bk>
    <bk>
      <rc t="2" v="1045"/>
    </bk>
    <bk>
      <rc t="2" v="1046"/>
    </bk>
    <bk>
      <rc t="2" v="1047"/>
    </bk>
    <bk>
      <rc t="2" v="1048"/>
    </bk>
    <bk>
      <rc t="2" v="1049"/>
    </bk>
    <bk>
      <rc t="2" v="1050"/>
    </bk>
    <bk>
      <rc t="2" v="1051"/>
    </bk>
    <bk>
      <rc t="2" v="1052"/>
    </bk>
    <bk>
      <rc t="2" v="1053"/>
    </bk>
    <bk>
      <rc t="2" v="1054"/>
    </bk>
    <bk>
      <rc t="2" v="1055"/>
    </bk>
    <bk>
      <rc t="2" v="1056"/>
    </bk>
    <bk>
      <rc t="2" v="1057"/>
    </bk>
    <bk>
      <rc t="2" v="1058"/>
    </bk>
    <bk>
      <rc t="2" v="1059"/>
    </bk>
    <bk>
      <rc t="2" v="1060"/>
    </bk>
    <bk>
      <rc t="2" v="1061"/>
    </bk>
    <bk>
      <rc t="2" v="1062"/>
    </bk>
    <bk>
      <rc t="2" v="1063"/>
    </bk>
    <bk>
      <rc t="2" v="1064"/>
    </bk>
    <bk>
      <rc t="2" v="1065"/>
    </bk>
    <bk>
      <rc t="2" v="1066"/>
    </bk>
    <bk>
      <rc t="2" v="1067"/>
    </bk>
    <bk>
      <rc t="2" v="1068"/>
    </bk>
    <bk>
      <rc t="2" v="1069"/>
    </bk>
    <bk>
      <rc t="2" v="1070"/>
    </bk>
    <bk>
      <rc t="2" v="1071"/>
    </bk>
    <bk>
      <rc t="2" v="1072"/>
    </bk>
    <bk>
      <rc t="2" v="1073"/>
    </bk>
    <bk>
      <rc t="2" v="1074"/>
    </bk>
    <bk>
      <rc t="2" v="1075"/>
    </bk>
    <bk>
      <rc t="2" v="1076"/>
    </bk>
    <bk>
      <rc t="2" v="1077"/>
    </bk>
    <bk>
      <rc t="2" v="1078"/>
    </bk>
    <bk>
      <rc t="2" v="1079"/>
    </bk>
    <bk>
      <rc t="2" v="1080"/>
    </bk>
    <bk>
      <rc t="2" v="1081"/>
    </bk>
    <bk>
      <rc t="2" v="1082"/>
    </bk>
    <bk>
      <rc t="2" v="1083"/>
    </bk>
    <bk>
      <rc t="2" v="1084"/>
    </bk>
    <bk>
      <rc t="2" v="1085"/>
    </bk>
    <bk>
      <rc t="2" v="1086"/>
    </bk>
    <bk>
      <rc t="2" v="1087"/>
    </bk>
    <bk>
      <rc t="2" v="1088"/>
    </bk>
    <bk>
      <rc t="2" v="1089"/>
    </bk>
    <bk>
      <rc t="2" v="1090"/>
    </bk>
    <bk>
      <rc t="2" v="1091"/>
    </bk>
    <bk>
      <rc t="2" v="1092"/>
    </bk>
    <bk>
      <rc t="2" v="1093"/>
    </bk>
    <bk>
      <rc t="2" v="1094"/>
    </bk>
    <bk>
      <rc t="2" v="1095"/>
    </bk>
    <bk>
      <rc t="2" v="1096"/>
    </bk>
    <bk>
      <rc t="2" v="1097"/>
    </bk>
    <bk>
      <rc t="2" v="1098"/>
    </bk>
    <bk>
      <rc t="2" v="1099"/>
    </bk>
    <bk>
      <rc t="2" v="1100"/>
    </bk>
    <bk>
      <rc t="2" v="1101"/>
    </bk>
    <bk>
      <rc t="2" v="1102"/>
    </bk>
    <bk>
      <rc t="2" v="1103"/>
    </bk>
    <bk>
      <rc t="2" v="1104"/>
    </bk>
    <bk>
      <rc t="2" v="1105"/>
    </bk>
    <bk>
      <rc t="2" v="1106"/>
    </bk>
    <bk>
      <rc t="2" v="1107"/>
    </bk>
    <bk>
      <rc t="2" v="1108"/>
    </bk>
    <bk>
      <rc t="2" v="1109"/>
    </bk>
    <bk>
      <rc t="2" v="1110"/>
    </bk>
    <bk>
      <rc t="2" v="1111"/>
    </bk>
    <bk>
      <rc t="2" v="1112"/>
    </bk>
    <bk>
      <rc t="2" v="1113"/>
    </bk>
    <bk>
      <rc t="2" v="1114"/>
    </bk>
    <bk>
      <rc t="2" v="1115"/>
    </bk>
    <bk>
      <rc t="2" v="1116"/>
    </bk>
    <bk>
      <rc t="2" v="1117"/>
    </bk>
    <bk>
      <rc t="2" v="1118"/>
    </bk>
    <bk>
      <rc t="2" v="1119"/>
    </bk>
    <bk>
      <rc t="2" v="1120"/>
    </bk>
    <bk>
      <rc t="2" v="1121"/>
    </bk>
    <bk>
      <rc t="2" v="1122"/>
    </bk>
    <bk>
      <rc t="2" v="1123"/>
    </bk>
    <bk>
      <rc t="2" v="1124"/>
    </bk>
    <bk>
      <rc t="2" v="1125"/>
    </bk>
    <bk>
      <rc t="2" v="1126"/>
    </bk>
    <bk>
      <rc t="2" v="1127"/>
    </bk>
    <bk>
      <rc t="2" v="1128"/>
    </bk>
    <bk>
      <rc t="2" v="1129"/>
    </bk>
    <bk>
      <rc t="2" v="1130"/>
    </bk>
    <bk>
      <rc t="2" v="1131"/>
    </bk>
    <bk>
      <rc t="2" v="1132"/>
    </bk>
    <bk>
      <rc t="2" v="1133"/>
    </bk>
    <bk>
      <rc t="2" v="1134"/>
    </bk>
    <bk>
      <rc t="2" v="1135"/>
    </bk>
    <bk>
      <rc t="2" v="1136"/>
    </bk>
    <bk>
      <rc t="2" v="1137"/>
    </bk>
    <bk>
      <rc t="2" v="1138"/>
    </bk>
    <bk>
      <rc t="2" v="1139"/>
    </bk>
    <bk>
      <rc t="2" v="1140"/>
    </bk>
    <bk>
      <rc t="2" v="1141"/>
    </bk>
    <bk>
      <rc t="2" v="1142"/>
    </bk>
    <bk>
      <rc t="2" v="1143"/>
    </bk>
    <bk>
      <rc t="2" v="1144"/>
    </bk>
    <bk>
      <rc t="2" v="1145"/>
    </bk>
    <bk>
      <rc t="2" v="1146"/>
    </bk>
    <bk>
      <rc t="2" v="1147"/>
    </bk>
    <bk>
      <rc t="2" v="1148"/>
    </bk>
    <bk>
      <rc t="2" v="1149"/>
    </bk>
    <bk>
      <rc t="2" v="1150"/>
    </bk>
    <bk>
      <rc t="2" v="1151"/>
    </bk>
    <bk>
      <rc t="2" v="1152"/>
    </bk>
    <bk>
      <rc t="2" v="1153"/>
    </bk>
    <bk>
      <rc t="2" v="1154"/>
    </bk>
    <bk>
      <rc t="2" v="1155"/>
    </bk>
    <bk>
      <rc t="2" v="1156"/>
    </bk>
    <bk>
      <rc t="2" v="1157"/>
    </bk>
    <bk>
      <rc t="2" v="1158"/>
    </bk>
    <bk>
      <rc t="2" v="1159"/>
    </bk>
    <bk>
      <rc t="2" v="1160"/>
    </bk>
    <bk>
      <rc t="2" v="1161"/>
    </bk>
    <bk>
      <rc t="2" v="1162"/>
    </bk>
    <bk>
      <rc t="2" v="1163"/>
    </bk>
    <bk>
      <rc t="2" v="1164"/>
    </bk>
    <bk>
      <rc t="2" v="1165"/>
    </bk>
    <bk>
      <rc t="2" v="1166"/>
    </bk>
    <bk>
      <rc t="2" v="1167"/>
    </bk>
    <bk>
      <rc t="2" v="1168"/>
    </bk>
    <bk>
      <rc t="2" v="1169"/>
    </bk>
    <bk>
      <rc t="2" v="1170"/>
    </bk>
    <bk>
      <rc t="2" v="1171"/>
    </bk>
    <bk>
      <rc t="2" v="1172"/>
    </bk>
    <bk>
      <rc t="2" v="1173"/>
    </bk>
    <bk>
      <rc t="2" v="1174"/>
    </bk>
    <bk>
      <rc t="2" v="1175"/>
    </bk>
    <bk>
      <rc t="2" v="1176"/>
    </bk>
    <bk>
      <rc t="2" v="1177"/>
    </bk>
    <bk>
      <rc t="2" v="1178"/>
    </bk>
    <bk>
      <rc t="2" v="1179"/>
    </bk>
    <bk>
      <rc t="2" v="1180"/>
    </bk>
    <bk>
      <rc t="2" v="1181"/>
    </bk>
    <bk>
      <rc t="2" v="1182"/>
    </bk>
    <bk>
      <rc t="2" v="1183"/>
    </bk>
    <bk>
      <rc t="2" v="1184"/>
    </bk>
    <bk>
      <rc t="2" v="1185"/>
    </bk>
    <bk>
      <rc t="2" v="1186"/>
    </bk>
    <bk>
      <rc t="2" v="1187"/>
    </bk>
    <bk>
      <rc t="2" v="1188"/>
    </bk>
    <bk>
      <rc t="2" v="1189"/>
    </bk>
    <bk>
      <rc t="2" v="1190"/>
    </bk>
    <bk>
      <rc t="2" v="1191"/>
    </bk>
    <bk>
      <rc t="2" v="1192"/>
    </bk>
    <bk>
      <rc t="2" v="1193"/>
    </bk>
    <bk>
      <rc t="2" v="1194"/>
    </bk>
    <bk>
      <rc t="2" v="1195"/>
    </bk>
    <bk>
      <rc t="2" v="1196"/>
    </bk>
    <bk>
      <rc t="2" v="1197"/>
    </bk>
    <bk>
      <rc t="2" v="1198"/>
    </bk>
    <bk>
      <rc t="2" v="1199"/>
    </bk>
    <bk>
      <rc t="2" v="1200"/>
    </bk>
    <bk>
      <rc t="2" v="1201"/>
    </bk>
    <bk>
      <rc t="2" v="1202"/>
    </bk>
    <bk>
      <rc t="2" v="1203"/>
    </bk>
    <bk>
      <rc t="2" v="1204"/>
    </bk>
    <bk>
      <rc t="2" v="1205"/>
    </bk>
    <bk>
      <rc t="2" v="1206"/>
    </bk>
    <bk>
      <rc t="2" v="1207"/>
    </bk>
    <bk>
      <rc t="2" v="1208"/>
    </bk>
    <bk>
      <rc t="2" v="1209"/>
    </bk>
    <bk>
      <rc t="2" v="1210"/>
    </bk>
    <bk>
      <rc t="2" v="1211"/>
    </bk>
    <bk>
      <rc t="2" v="1212"/>
    </bk>
    <bk>
      <rc t="2" v="1213"/>
    </bk>
    <bk>
      <rc t="2" v="1214"/>
    </bk>
    <bk>
      <rc t="2" v="1215"/>
    </bk>
    <bk>
      <rc t="2" v="1216"/>
    </bk>
    <bk>
      <rc t="2" v="1217"/>
    </bk>
    <bk>
      <rc t="2" v="1218"/>
    </bk>
    <bk>
      <rc t="2" v="1219"/>
    </bk>
    <bk>
      <rc t="2" v="1220"/>
    </bk>
    <bk>
      <rc t="2" v="1221"/>
    </bk>
    <bk>
      <rc t="2" v="1222"/>
    </bk>
    <bk>
      <rc t="2" v="1223"/>
    </bk>
    <bk>
      <rc t="2" v="1224"/>
    </bk>
    <bk>
      <rc t="2" v="1225"/>
    </bk>
    <bk>
      <rc t="2" v="1226"/>
    </bk>
    <bk>
      <rc t="2" v="1227"/>
    </bk>
    <bk>
      <rc t="2" v="1228"/>
    </bk>
    <bk>
      <rc t="2" v="1229"/>
    </bk>
    <bk>
      <rc t="2" v="1230"/>
    </bk>
    <bk>
      <rc t="2" v="1231"/>
    </bk>
    <bk>
      <rc t="2" v="1232"/>
    </bk>
    <bk>
      <rc t="2" v="1233"/>
    </bk>
    <bk>
      <rc t="2" v="1234"/>
    </bk>
    <bk>
      <rc t="2" v="1235"/>
    </bk>
    <bk>
      <rc t="2" v="1236"/>
    </bk>
    <bk>
      <rc t="2" v="1237"/>
    </bk>
    <bk>
      <rc t="2" v="1238"/>
    </bk>
    <bk>
      <rc t="2" v="1239"/>
    </bk>
    <bk>
      <rc t="2" v="1240"/>
    </bk>
    <bk>
      <rc t="2" v="1241"/>
    </bk>
    <bk>
      <rc t="2" v="1242"/>
    </bk>
    <bk>
      <rc t="2" v="1243"/>
    </bk>
    <bk>
      <rc t="2" v="1244"/>
    </bk>
    <bk>
      <rc t="2" v="1245"/>
    </bk>
    <bk>
      <rc t="2" v="1246"/>
    </bk>
    <bk>
      <rc t="2" v="1247"/>
    </bk>
    <bk>
      <rc t="2" v="1248"/>
    </bk>
    <bk>
      <rc t="2" v="1249"/>
    </bk>
    <bk>
      <rc t="2" v="1250"/>
    </bk>
    <bk>
      <rc t="2" v="1251"/>
    </bk>
    <bk>
      <rc t="2" v="1252"/>
    </bk>
    <bk>
      <rc t="2" v="1253"/>
    </bk>
    <bk>
      <rc t="2" v="1254"/>
    </bk>
    <bk>
      <rc t="2" v="1255"/>
    </bk>
    <bk>
      <rc t="2" v="1256"/>
    </bk>
    <bk>
      <rc t="2" v="1257"/>
    </bk>
    <bk>
      <rc t="2" v="1258"/>
    </bk>
    <bk>
      <rc t="2" v="1259"/>
    </bk>
    <bk>
      <rc t="2" v="1260"/>
    </bk>
    <bk>
      <rc t="2" v="1261"/>
    </bk>
    <bk>
      <rc t="2" v="1262"/>
    </bk>
    <bk>
      <rc t="2" v="1263"/>
    </bk>
    <bk>
      <rc t="2" v="1264"/>
    </bk>
    <bk>
      <rc t="2" v="1265"/>
    </bk>
    <bk>
      <rc t="2" v="1266"/>
    </bk>
    <bk>
      <rc t="2" v="1267"/>
    </bk>
    <bk>
      <rc t="2" v="1268"/>
    </bk>
    <bk>
      <rc t="2" v="1269"/>
    </bk>
    <bk>
      <rc t="2" v="1270"/>
    </bk>
    <bk>
      <rc t="2" v="1271"/>
    </bk>
    <bk>
      <rc t="2" v="1272"/>
    </bk>
    <bk>
      <rc t="2" v="1273"/>
    </bk>
    <bk>
      <rc t="2" v="1274"/>
    </bk>
    <bk>
      <rc t="2" v="1275"/>
    </bk>
    <bk>
      <rc t="2" v="1276"/>
    </bk>
    <bk>
      <rc t="2" v="1277"/>
    </bk>
    <bk>
      <rc t="2" v="1278"/>
    </bk>
    <bk>
      <rc t="2" v="1279"/>
    </bk>
    <bk>
      <rc t="2" v="1280"/>
    </bk>
    <bk>
      <rc t="2" v="1281"/>
    </bk>
    <bk>
      <rc t="2" v="1282"/>
    </bk>
    <bk>
      <rc t="2" v="1283"/>
    </bk>
    <bk>
      <rc t="2" v="1284"/>
    </bk>
    <bk>
      <rc t="2" v="1285"/>
    </bk>
    <bk>
      <rc t="2" v="1286"/>
    </bk>
    <bk>
      <rc t="2" v="1287"/>
    </bk>
    <bk>
      <rc t="2" v="1288"/>
    </bk>
    <bk>
      <rc t="2" v="1289"/>
    </bk>
    <bk>
      <rc t="2" v="1290"/>
    </bk>
    <bk>
      <rc t="2" v="1291"/>
    </bk>
    <bk>
      <rc t="2" v="1292"/>
    </bk>
    <bk>
      <rc t="2" v="1293"/>
    </bk>
    <bk>
      <rc t="2" v="1294"/>
    </bk>
    <bk>
      <rc t="2" v="1295"/>
    </bk>
    <bk>
      <rc t="2" v="1296"/>
    </bk>
    <bk>
      <rc t="2" v="1297"/>
    </bk>
    <bk>
      <rc t="2" v="1298"/>
    </bk>
    <bk>
      <rc t="2" v="1299"/>
    </bk>
    <bk>
      <rc t="2" v="1300"/>
    </bk>
    <bk>
      <rc t="2" v="1301"/>
    </bk>
    <bk>
      <rc t="2" v="1302"/>
    </bk>
    <bk>
      <rc t="2" v="1303"/>
    </bk>
    <bk>
      <rc t="2" v="1304"/>
    </bk>
    <bk>
      <rc t="2" v="1305"/>
    </bk>
    <bk>
      <rc t="2" v="1306"/>
    </bk>
    <bk>
      <rc t="2" v="1307"/>
    </bk>
    <bk>
      <rc t="2" v="1308"/>
    </bk>
    <bk>
      <rc t="2" v="1309"/>
    </bk>
    <bk>
      <rc t="2" v="1310"/>
    </bk>
    <bk>
      <rc t="2" v="1311"/>
    </bk>
    <bk>
      <rc t="2" v="1312"/>
    </bk>
    <bk>
      <rc t="2" v="1313"/>
    </bk>
    <bk>
      <rc t="2" v="1314"/>
    </bk>
    <bk>
      <rc t="2" v="1315"/>
    </bk>
    <bk>
      <rc t="2" v="1316"/>
    </bk>
    <bk>
      <rc t="2" v="1317"/>
    </bk>
    <bk>
      <rc t="2" v="1318"/>
    </bk>
    <bk>
      <rc t="2" v="1319"/>
    </bk>
    <bk>
      <rc t="2" v="1320"/>
    </bk>
    <bk>
      <rc t="2" v="1321"/>
    </bk>
    <bk>
      <rc t="2" v="1322"/>
    </bk>
    <bk>
      <rc t="2" v="1323"/>
    </bk>
    <bk>
      <rc t="2" v="1324"/>
    </bk>
    <bk>
      <rc t="2" v="1325"/>
    </bk>
    <bk>
      <rc t="2" v="1326"/>
    </bk>
    <bk>
      <rc t="2" v="1327"/>
    </bk>
    <bk>
      <rc t="2" v="1328"/>
    </bk>
    <bk>
      <rc t="2" v="1329"/>
    </bk>
    <bk>
      <rc t="2" v="1330"/>
    </bk>
    <bk>
      <rc t="2" v="1331"/>
    </bk>
    <bk>
      <rc t="2" v="1332"/>
    </bk>
    <bk>
      <rc t="2" v="1333"/>
    </bk>
    <bk>
      <rc t="2" v="1334"/>
    </bk>
    <bk>
      <rc t="2" v="1335"/>
    </bk>
    <bk>
      <rc t="2" v="1336"/>
    </bk>
    <bk>
      <rc t="2" v="1337"/>
    </bk>
    <bk>
      <rc t="2" v="1338"/>
    </bk>
    <bk>
      <rc t="2" v="1339"/>
    </bk>
    <bk>
      <rc t="2" v="1340"/>
    </bk>
    <bk>
      <rc t="2" v="1341"/>
    </bk>
    <bk>
      <rc t="2" v="1342"/>
    </bk>
    <bk>
      <rc t="2" v="1343"/>
    </bk>
    <bk>
      <rc t="2" v="1344"/>
    </bk>
    <bk>
      <rc t="2" v="1345"/>
    </bk>
    <bk>
      <rc t="2" v="1346"/>
    </bk>
    <bk>
      <rc t="2" v="1347"/>
    </bk>
    <bk>
      <rc t="2" v="1348"/>
    </bk>
    <bk>
      <rc t="2" v="1349"/>
    </bk>
    <bk>
      <rc t="2" v="1350"/>
    </bk>
    <bk>
      <rc t="2" v="1351"/>
    </bk>
    <bk>
      <rc t="2" v="1352"/>
    </bk>
    <bk>
      <rc t="2" v="1353"/>
    </bk>
    <bk>
      <rc t="2" v="1354"/>
    </bk>
    <bk>
      <rc t="2" v="1355"/>
    </bk>
    <bk>
      <rc t="2" v="1356"/>
    </bk>
    <bk>
      <rc t="2" v="1357"/>
    </bk>
    <bk>
      <rc t="2" v="1358"/>
    </bk>
    <bk>
      <rc t="2" v="1359"/>
    </bk>
    <bk>
      <rc t="2" v="1360"/>
    </bk>
    <bk>
      <rc t="2" v="1361"/>
    </bk>
    <bk>
      <rc t="2" v="1362"/>
    </bk>
    <bk>
      <rc t="2" v="1363"/>
    </bk>
    <bk>
      <rc t="2" v="1364"/>
    </bk>
    <bk>
      <rc t="2" v="1365"/>
    </bk>
    <bk>
      <rc t="2" v="1366"/>
    </bk>
    <bk>
      <rc t="2" v="1367"/>
    </bk>
    <bk>
      <rc t="2" v="1368"/>
    </bk>
    <bk>
      <rc t="2" v="1369"/>
    </bk>
    <bk>
      <rc t="2" v="1370"/>
    </bk>
    <bk>
      <rc t="2" v="1371"/>
    </bk>
    <bk>
      <rc t="2" v="1372"/>
    </bk>
    <bk>
      <rc t="2" v="1373"/>
    </bk>
    <bk>
      <rc t="2" v="1374"/>
    </bk>
    <bk>
      <rc t="2" v="1375"/>
    </bk>
    <bk>
      <rc t="2" v="1376"/>
    </bk>
    <bk>
      <rc t="2" v="1377"/>
    </bk>
    <bk>
      <rc t="2" v="1378"/>
    </bk>
    <bk>
      <rc t="2" v="1379"/>
    </bk>
    <bk>
      <rc t="2" v="1380"/>
    </bk>
    <bk>
      <rc t="2" v="1381"/>
    </bk>
    <bk>
      <rc t="2" v="1382"/>
    </bk>
    <bk>
      <rc t="2" v="1383"/>
    </bk>
    <bk>
      <rc t="2" v="1384"/>
    </bk>
    <bk>
      <rc t="2" v="1385"/>
    </bk>
    <bk>
      <rc t="2" v="1386"/>
    </bk>
    <bk>
      <rc t="2" v="1387"/>
    </bk>
    <bk>
      <rc t="2" v="1388"/>
    </bk>
    <bk>
      <rc t="2" v="1389"/>
    </bk>
    <bk>
      <rc t="2" v="1390"/>
    </bk>
    <bk>
      <rc t="2" v="1391"/>
    </bk>
    <bk>
      <rc t="2" v="1392"/>
    </bk>
    <bk>
      <rc t="2" v="1393"/>
    </bk>
    <bk>
      <rc t="2" v="1394"/>
    </bk>
    <bk>
      <rc t="2" v="1395"/>
    </bk>
    <bk>
      <rc t="2" v="1396"/>
    </bk>
    <bk>
      <rc t="2" v="1397"/>
    </bk>
    <bk>
      <rc t="2" v="1398"/>
    </bk>
    <bk>
      <rc t="2" v="1399"/>
    </bk>
    <bk>
      <rc t="2" v="1400"/>
    </bk>
    <bk>
      <rc t="2" v="1401"/>
    </bk>
    <bk>
      <rc t="2" v="1402"/>
    </bk>
    <bk>
      <rc t="2" v="1403"/>
    </bk>
    <bk>
      <rc t="2" v="1404"/>
    </bk>
    <bk>
      <rc t="2" v="1405"/>
    </bk>
    <bk>
      <rc t="2" v="1406"/>
    </bk>
    <bk>
      <rc t="2" v="1407"/>
    </bk>
    <bk>
      <rc t="2" v="1408"/>
    </bk>
    <bk>
      <rc t="2" v="1409"/>
    </bk>
    <bk>
      <rc t="2" v="1410"/>
    </bk>
    <bk>
      <rc t="2" v="1411"/>
    </bk>
    <bk>
      <rc t="2" v="1412"/>
    </bk>
    <bk>
      <rc t="2" v="1413"/>
    </bk>
    <bk>
      <rc t="2" v="1414"/>
    </bk>
    <bk>
      <rc t="2" v="1415"/>
    </bk>
    <bk>
      <rc t="2" v="1416"/>
    </bk>
    <bk>
      <rc t="2" v="1417"/>
    </bk>
    <bk>
      <rc t="2" v="1418"/>
    </bk>
    <bk>
      <rc t="2" v="1419"/>
    </bk>
    <bk>
      <rc t="2" v="1420"/>
    </bk>
    <bk>
      <rc t="2" v="1421"/>
    </bk>
    <bk>
      <rc t="2" v="1422"/>
    </bk>
    <bk>
      <rc t="2" v="1423"/>
    </bk>
    <bk>
      <rc t="2" v="1424"/>
    </bk>
    <bk>
      <rc t="2" v="1425"/>
    </bk>
    <bk>
      <rc t="2" v="1426"/>
    </bk>
    <bk>
      <rc t="2" v="1427"/>
    </bk>
    <bk>
      <rc t="2" v="1428"/>
    </bk>
    <bk>
      <rc t="2" v="1429"/>
    </bk>
    <bk>
      <rc t="2" v="1430"/>
    </bk>
    <bk>
      <rc t="2" v="1431"/>
    </bk>
    <bk>
      <rc t="2" v="1432"/>
    </bk>
    <bk>
      <rc t="2" v="1433"/>
    </bk>
    <bk>
      <rc t="2" v="1434"/>
    </bk>
    <bk>
      <rc t="2" v="1435"/>
    </bk>
    <bk>
      <rc t="2" v="1436"/>
    </bk>
    <bk>
      <rc t="2" v="1437"/>
    </bk>
    <bk>
      <rc t="2" v="1438"/>
    </bk>
    <bk>
      <rc t="2" v="1439"/>
    </bk>
    <bk>
      <rc t="2" v="1440"/>
    </bk>
    <bk>
      <rc t="2" v="1441"/>
    </bk>
    <bk>
      <rc t="2" v="1442"/>
    </bk>
    <bk>
      <rc t="2" v="1443"/>
    </bk>
    <bk>
      <rc t="2" v="1444"/>
    </bk>
    <bk>
      <rc t="2" v="1445"/>
    </bk>
    <bk>
      <rc t="2" v="1446"/>
    </bk>
    <bk>
      <rc t="2" v="1447"/>
    </bk>
    <bk>
      <rc t="2" v="1448"/>
    </bk>
    <bk>
      <rc t="2" v="1449"/>
    </bk>
    <bk>
      <rc t="2" v="1450"/>
    </bk>
    <bk>
      <rc t="2" v="1451"/>
    </bk>
    <bk>
      <rc t="2" v="1452"/>
    </bk>
    <bk>
      <rc t="2" v="1453"/>
    </bk>
    <bk>
      <rc t="2" v="1454"/>
    </bk>
    <bk>
      <rc t="2" v="1455"/>
    </bk>
    <bk>
      <rc t="2" v="1456"/>
    </bk>
    <bk>
      <rc t="2" v="1457"/>
    </bk>
    <bk>
      <rc t="2" v="1458"/>
    </bk>
    <bk>
      <rc t="2" v="1459"/>
    </bk>
    <bk>
      <rc t="2" v="1460"/>
    </bk>
    <bk>
      <rc t="2" v="1461"/>
    </bk>
    <bk>
      <rc t="2" v="1462"/>
    </bk>
    <bk>
      <rc t="2" v="1463"/>
    </bk>
    <bk>
      <rc t="2" v="1464"/>
    </bk>
    <bk>
      <rc t="2" v="1465"/>
    </bk>
    <bk>
      <rc t="2" v="1466"/>
    </bk>
    <bk>
      <rc t="2" v="1467"/>
    </bk>
    <bk>
      <rc t="2" v="1468"/>
    </bk>
    <bk>
      <rc t="2" v="1469"/>
    </bk>
    <bk>
      <rc t="2" v="1470"/>
    </bk>
    <bk>
      <rc t="2" v="1471"/>
    </bk>
    <bk>
      <rc t="2" v="1472"/>
    </bk>
    <bk>
      <rc t="2" v="1473"/>
    </bk>
    <bk>
      <rc t="2" v="1474"/>
    </bk>
    <bk>
      <rc t="2" v="1475"/>
    </bk>
    <bk>
      <rc t="2" v="1476"/>
    </bk>
    <bk>
      <rc t="2" v="1477"/>
    </bk>
    <bk>
      <rc t="2" v="1478"/>
    </bk>
    <bk>
      <rc t="2" v="1479"/>
    </bk>
    <bk>
      <rc t="2" v="1480"/>
    </bk>
    <bk>
      <rc t="2" v="1481"/>
    </bk>
    <bk>
      <rc t="2" v="1482"/>
    </bk>
    <bk>
      <rc t="2" v="1483"/>
    </bk>
    <bk>
      <rc t="2" v="1484"/>
    </bk>
    <bk>
      <rc t="2" v="1485"/>
    </bk>
    <bk>
      <rc t="2" v="1486"/>
    </bk>
    <bk>
      <rc t="2" v="1487"/>
    </bk>
    <bk>
      <rc t="2" v="1488"/>
    </bk>
    <bk>
      <rc t="2" v="1489"/>
    </bk>
    <bk>
      <rc t="2" v="1490"/>
    </bk>
    <bk>
      <rc t="2" v="1491"/>
    </bk>
    <bk>
      <rc t="2" v="1492"/>
    </bk>
    <bk>
      <rc t="2" v="1493"/>
    </bk>
    <bk>
      <rc t="2" v="1494"/>
    </bk>
    <bk>
      <rc t="2" v="1495"/>
    </bk>
    <bk>
      <rc t="2" v="1496"/>
    </bk>
    <bk>
      <rc t="2" v="1497"/>
    </bk>
    <bk>
      <rc t="2" v="1498"/>
    </bk>
    <bk>
      <rc t="2" v="1499"/>
    </bk>
    <bk>
      <rc t="2" v="1500"/>
    </bk>
    <bk>
      <rc t="2" v="1501"/>
    </bk>
    <bk>
      <rc t="2" v="1502"/>
    </bk>
    <bk>
      <rc t="2" v="1503"/>
    </bk>
    <bk>
      <rc t="2" v="1504"/>
    </bk>
    <bk>
      <rc t="2" v="1505"/>
    </bk>
    <bk>
      <rc t="2" v="1506"/>
    </bk>
    <bk>
      <rc t="2" v="1507"/>
    </bk>
    <bk>
      <rc t="2" v="1508"/>
    </bk>
    <bk>
      <rc t="2" v="1509"/>
    </bk>
    <bk>
      <rc t="2" v="1510"/>
    </bk>
    <bk>
      <rc t="2" v="1511"/>
    </bk>
    <bk>
      <rc t="2" v="1512"/>
    </bk>
    <bk>
      <rc t="2" v="1513"/>
    </bk>
    <bk>
      <rc t="2" v="1514"/>
    </bk>
    <bk>
      <rc t="2" v="1515"/>
    </bk>
    <bk>
      <rc t="2" v="1516"/>
    </bk>
    <bk>
      <rc t="2" v="1517"/>
    </bk>
    <bk>
      <rc t="2" v="1518"/>
    </bk>
    <bk>
      <rc t="2" v="1519"/>
    </bk>
    <bk>
      <rc t="2" v="1520"/>
    </bk>
    <bk>
      <rc t="2" v="1521"/>
    </bk>
    <bk>
      <rc t="2" v="1522"/>
    </bk>
    <bk>
      <rc t="2" v="1523"/>
    </bk>
    <bk>
      <rc t="2" v="1524"/>
    </bk>
    <bk>
      <rc t="2" v="1525"/>
    </bk>
    <bk>
      <rc t="2" v="1526"/>
    </bk>
    <bk>
      <rc t="2" v="1527"/>
    </bk>
    <bk>
      <rc t="2" v="1528"/>
    </bk>
    <bk>
      <rc t="2" v="1529"/>
    </bk>
    <bk>
      <rc t="2" v="1530"/>
    </bk>
    <bk>
      <rc t="2" v="1531"/>
    </bk>
    <bk>
      <rc t="2" v="1532"/>
    </bk>
    <bk>
      <rc t="2" v="1533"/>
    </bk>
    <bk>
      <rc t="2" v="1534"/>
    </bk>
    <bk>
      <rc t="2" v="1535"/>
    </bk>
    <bk>
      <rc t="2" v="1536"/>
    </bk>
    <bk>
      <rc t="2" v="1537"/>
    </bk>
    <bk>
      <rc t="2" v="1538"/>
    </bk>
    <bk>
      <rc t="2" v="1539"/>
    </bk>
    <bk>
      <rc t="2" v="1540"/>
    </bk>
    <bk>
      <rc t="2" v="1541"/>
    </bk>
    <bk>
      <rc t="2" v="1542"/>
    </bk>
    <bk>
      <rc t="2" v="1543"/>
    </bk>
    <bk>
      <rc t="2" v="1544"/>
    </bk>
    <bk>
      <rc t="2" v="1545"/>
    </bk>
    <bk>
      <rc t="2" v="1546"/>
    </bk>
    <bk>
      <rc t="2" v="1547"/>
    </bk>
    <bk>
      <rc t="2" v="1548"/>
    </bk>
    <bk>
      <rc t="2" v="1549"/>
    </bk>
    <bk>
      <rc t="2" v="1550"/>
    </bk>
    <bk>
      <rc t="2" v="1551"/>
    </bk>
    <bk>
      <rc t="2" v="1552"/>
    </bk>
    <bk>
      <rc t="2" v="1553"/>
    </bk>
    <bk>
      <rc t="2" v="1554"/>
    </bk>
    <bk>
      <rc t="2" v="1555"/>
    </bk>
    <bk>
      <rc t="2" v="1556"/>
    </bk>
    <bk>
      <rc t="2" v="1557"/>
    </bk>
    <bk>
      <rc t="2" v="1558"/>
    </bk>
    <bk>
      <rc t="2" v="1559"/>
    </bk>
    <bk>
      <rc t="2" v="1560"/>
    </bk>
    <bk>
      <rc t="2" v="1561"/>
    </bk>
    <bk>
      <rc t="2" v="1562"/>
    </bk>
    <bk>
      <rc t="2" v="1563"/>
    </bk>
    <bk>
      <rc t="2" v="1564"/>
    </bk>
    <bk>
      <rc t="2" v="1565"/>
    </bk>
    <bk>
      <rc t="2" v="1566"/>
    </bk>
    <bk>
      <rc t="2" v="1567"/>
    </bk>
    <bk>
      <rc t="2" v="1568"/>
    </bk>
    <bk>
      <rc t="2" v="1569"/>
    </bk>
    <bk>
      <rc t="2" v="1570"/>
    </bk>
    <bk>
      <rc t="2" v="1571"/>
    </bk>
    <bk>
      <rc t="2" v="1572"/>
    </bk>
    <bk>
      <rc t="2" v="1573"/>
    </bk>
    <bk>
      <rc t="2" v="1574"/>
    </bk>
    <bk>
      <rc t="2" v="1575"/>
    </bk>
    <bk>
      <rc t="2" v="1576"/>
    </bk>
    <bk>
      <rc t="2" v="1577"/>
    </bk>
    <bk>
      <rc t="2" v="1578"/>
    </bk>
    <bk>
      <rc t="2" v="1579"/>
    </bk>
    <bk>
      <rc t="2" v="1580"/>
    </bk>
    <bk>
      <rc t="2" v="1581"/>
    </bk>
    <bk>
      <rc t="2" v="1582"/>
    </bk>
    <bk>
      <rc t="2" v="1583"/>
    </bk>
    <bk>
      <rc t="2" v="1584"/>
    </bk>
    <bk>
      <rc t="2" v="1585"/>
    </bk>
    <bk>
      <rc t="2" v="1586"/>
    </bk>
    <bk>
      <rc t="2" v="1587"/>
    </bk>
    <bk>
      <rc t="2" v="1588"/>
    </bk>
    <bk>
      <rc t="2" v="1589"/>
    </bk>
    <bk>
      <rc t="2" v="1590"/>
    </bk>
    <bk>
      <rc t="2" v="1591"/>
    </bk>
    <bk>
      <rc t="2" v="1592"/>
    </bk>
    <bk>
      <rc t="2" v="1593"/>
    </bk>
    <bk>
      <rc t="2" v="1594"/>
    </bk>
    <bk>
      <rc t="2" v="1595"/>
    </bk>
    <bk>
      <rc t="2" v="1596"/>
    </bk>
    <bk>
      <rc t="2" v="1597"/>
    </bk>
    <bk>
      <rc t="2" v="1598"/>
    </bk>
    <bk>
      <rc t="2" v="1599"/>
    </bk>
    <bk>
      <rc t="2" v="1600"/>
    </bk>
    <bk>
      <rc t="2" v="1601"/>
    </bk>
    <bk>
      <rc t="2" v="1602"/>
    </bk>
    <bk>
      <rc t="2" v="1603"/>
    </bk>
    <bk>
      <rc t="2" v="1604"/>
    </bk>
    <bk>
      <rc t="2" v="1605"/>
    </bk>
    <bk>
      <rc t="2" v="1606"/>
    </bk>
    <bk>
      <rc t="2" v="1607"/>
    </bk>
    <bk>
      <rc t="2" v="1608"/>
    </bk>
    <bk>
      <rc t="2" v="1609"/>
    </bk>
    <bk>
      <rc t="2" v="1610"/>
    </bk>
    <bk>
      <rc t="2" v="1611"/>
    </bk>
    <bk>
      <rc t="2" v="1612"/>
    </bk>
    <bk>
      <rc t="2" v="1613"/>
    </bk>
    <bk>
      <rc t="2" v="1614"/>
    </bk>
    <bk>
      <rc t="2" v="1615"/>
    </bk>
    <bk>
      <rc t="2" v="1616"/>
    </bk>
    <bk>
      <rc t="2" v="1617"/>
    </bk>
    <bk>
      <rc t="2" v="1618"/>
    </bk>
    <bk>
      <rc t="2" v="1619"/>
    </bk>
    <bk>
      <rc t="2" v="1620"/>
    </bk>
    <bk>
      <rc t="2" v="1621"/>
    </bk>
    <bk>
      <rc t="2" v="1622"/>
    </bk>
    <bk>
      <rc t="2" v="1623"/>
    </bk>
    <bk>
      <rc t="2" v="1624"/>
    </bk>
    <bk>
      <rc t="2" v="1625"/>
    </bk>
    <bk>
      <rc t="2" v="1626"/>
    </bk>
    <bk>
      <rc t="2" v="1627"/>
    </bk>
    <bk>
      <rc t="2" v="1628"/>
    </bk>
    <bk>
      <rc t="2" v="1629"/>
    </bk>
    <bk>
      <rc t="2" v="1630"/>
    </bk>
    <bk>
      <rc t="2" v="1631"/>
    </bk>
    <bk>
      <rc t="2" v="1632"/>
    </bk>
    <bk>
      <rc t="2" v="1633"/>
    </bk>
    <bk>
      <rc t="2" v="1634"/>
    </bk>
    <bk>
      <rc t="2" v="1635"/>
    </bk>
    <bk>
      <rc t="2" v="1636"/>
    </bk>
    <bk>
      <rc t="2" v="1637"/>
    </bk>
    <bk>
      <rc t="2" v="1638"/>
    </bk>
    <bk>
      <rc t="2" v="1639"/>
    </bk>
    <bk>
      <rc t="2" v="1640"/>
    </bk>
    <bk>
      <rc t="2" v="1641"/>
    </bk>
    <bk>
      <rc t="2" v="1642"/>
    </bk>
    <bk>
      <rc t="2" v="1643"/>
    </bk>
    <bk>
      <rc t="2" v="1644"/>
    </bk>
    <bk>
      <rc t="2" v="1645"/>
    </bk>
    <bk>
      <rc t="2" v="1646"/>
    </bk>
    <bk>
      <rc t="2" v="1647"/>
    </bk>
    <bk>
      <rc t="2" v="1648"/>
    </bk>
    <bk>
      <rc t="2" v="1649"/>
    </bk>
    <bk>
      <rc t="2" v="1650"/>
    </bk>
    <bk>
      <rc t="2" v="1651"/>
    </bk>
    <bk>
      <rc t="2" v="1652"/>
    </bk>
    <bk>
      <rc t="2" v="1653"/>
    </bk>
    <bk>
      <rc t="2" v="1654"/>
    </bk>
    <bk>
      <rc t="2" v="1655"/>
    </bk>
    <bk>
      <rc t="2" v="1656"/>
    </bk>
    <bk>
      <rc t="2" v="1657"/>
    </bk>
    <bk>
      <rc t="2" v="1658"/>
    </bk>
    <bk>
      <rc t="2" v="1659"/>
    </bk>
    <bk>
      <rc t="2" v="1660"/>
    </bk>
    <bk>
      <rc t="2" v="1661"/>
    </bk>
    <bk>
      <rc t="2" v="1662"/>
    </bk>
    <bk>
      <rc t="2" v="1663"/>
    </bk>
    <bk>
      <rc t="2" v="1664"/>
    </bk>
    <bk>
      <rc t="2" v="1665"/>
    </bk>
    <bk>
      <rc t="2" v="1666"/>
    </bk>
    <bk>
      <rc t="2" v="1667"/>
    </bk>
    <bk>
      <rc t="2" v="1668"/>
    </bk>
    <bk>
      <rc t="2" v="1669"/>
    </bk>
    <bk>
      <rc t="2" v="1670"/>
    </bk>
    <bk>
      <rc t="2" v="1671"/>
    </bk>
    <bk>
      <rc t="2" v="1672"/>
    </bk>
    <bk>
      <rc t="2" v="1673"/>
    </bk>
    <bk>
      <rc t="2" v="1674"/>
    </bk>
    <bk>
      <rc t="2" v="1675"/>
    </bk>
    <bk>
      <rc t="2" v="1676"/>
    </bk>
    <bk>
      <rc t="2" v="1677"/>
    </bk>
    <bk>
      <rc t="2" v="1678"/>
    </bk>
    <bk>
      <rc t="2" v="1679"/>
    </bk>
    <bk>
      <rc t="2" v="1680"/>
    </bk>
    <bk>
      <rc t="2" v="1681"/>
    </bk>
    <bk>
      <rc t="2" v="1682"/>
    </bk>
    <bk>
      <rc t="2" v="1683"/>
    </bk>
    <bk>
      <rc t="2" v="1684"/>
    </bk>
    <bk>
      <rc t="2" v="1685"/>
    </bk>
    <bk>
      <rc t="2" v="1686"/>
    </bk>
    <bk>
      <rc t="2" v="1687"/>
    </bk>
    <bk>
      <rc t="2" v="1688"/>
    </bk>
    <bk>
      <rc t="2" v="1689"/>
    </bk>
    <bk>
      <rc t="2" v="1690"/>
    </bk>
    <bk>
      <rc t="2" v="1691"/>
    </bk>
    <bk>
      <rc t="2" v="1692"/>
    </bk>
    <bk>
      <rc t="2" v="1693"/>
    </bk>
    <bk>
      <rc t="2" v="1694"/>
    </bk>
    <bk>
      <rc t="2" v="1695"/>
    </bk>
    <bk>
      <rc t="2" v="1696"/>
    </bk>
    <bk>
      <rc t="2" v="1697"/>
    </bk>
    <bk>
      <rc t="2" v="1698"/>
    </bk>
    <bk>
      <rc t="2" v="1699"/>
    </bk>
    <bk>
      <rc t="2" v="1700"/>
    </bk>
    <bk>
      <rc t="2" v="1701"/>
    </bk>
    <bk>
      <rc t="2" v="1702"/>
    </bk>
    <bk>
      <rc t="2" v="1703"/>
    </bk>
    <bk>
      <rc t="2" v="1704"/>
    </bk>
    <bk>
      <rc t="2" v="1705"/>
    </bk>
    <bk>
      <rc t="2" v="1706"/>
    </bk>
    <bk>
      <rc t="2" v="1707"/>
    </bk>
    <bk>
      <rc t="2" v="1708"/>
    </bk>
    <bk>
      <rc t="2" v="1709"/>
    </bk>
    <bk>
      <rc t="2" v="1710"/>
    </bk>
    <bk>
      <rc t="2" v="1711"/>
    </bk>
    <bk>
      <rc t="2" v="1712"/>
    </bk>
    <bk>
      <rc t="2" v="1713"/>
    </bk>
    <bk>
      <rc t="2" v="1714"/>
    </bk>
    <bk>
      <rc t="2" v="1715"/>
    </bk>
    <bk>
      <rc t="2" v="1716"/>
    </bk>
    <bk>
      <rc t="2" v="1717"/>
    </bk>
    <bk>
      <rc t="2" v="1718"/>
    </bk>
    <bk>
      <rc t="2" v="1719"/>
    </bk>
    <bk>
      <rc t="2" v="1720"/>
    </bk>
    <bk>
      <rc t="2" v="1721"/>
    </bk>
    <bk>
      <rc t="2" v="1722"/>
    </bk>
    <bk>
      <rc t="2" v="1723"/>
    </bk>
    <bk>
      <rc t="2" v="1724"/>
    </bk>
    <bk>
      <rc t="2" v="1725"/>
    </bk>
    <bk>
      <rc t="2" v="1726"/>
    </bk>
    <bk>
      <rc t="2" v="1727"/>
    </bk>
    <bk>
      <rc t="2" v="1728"/>
    </bk>
    <bk>
      <rc t="2" v="1729"/>
    </bk>
    <bk>
      <rc t="2" v="1730"/>
    </bk>
    <bk>
      <rc t="2" v="1731"/>
    </bk>
    <bk>
      <rc t="2" v="1732"/>
    </bk>
    <bk>
      <rc t="2" v="1733"/>
    </bk>
    <bk>
      <rc t="2" v="1734"/>
    </bk>
    <bk>
      <rc t="2" v="1735"/>
    </bk>
    <bk>
      <rc t="2" v="1736"/>
    </bk>
    <bk>
      <rc t="2" v="1737"/>
    </bk>
    <bk>
      <rc t="2" v="1738"/>
    </bk>
    <bk>
      <rc t="2" v="1739"/>
    </bk>
    <bk>
      <rc t="2" v="1740"/>
    </bk>
    <bk>
      <rc t="2" v="1741"/>
    </bk>
    <bk>
      <rc t="2" v="1742"/>
    </bk>
    <bk>
      <rc t="2" v="1743"/>
    </bk>
    <bk>
      <rc t="2" v="1744"/>
    </bk>
    <bk>
      <rc t="2" v="1745"/>
    </bk>
    <bk>
      <rc t="2" v="1746"/>
    </bk>
    <bk>
      <rc t="2" v="1747"/>
    </bk>
    <bk>
      <rc t="2" v="1748"/>
    </bk>
    <bk>
      <rc t="2" v="1749"/>
    </bk>
    <bk>
      <rc t="2" v="1750"/>
    </bk>
    <bk>
      <rc t="2" v="1751"/>
    </bk>
    <bk>
      <rc t="2" v="1752"/>
    </bk>
    <bk>
      <rc t="2" v="1753"/>
    </bk>
    <bk>
      <rc t="2" v="1754"/>
    </bk>
    <bk>
      <rc t="2" v="1755"/>
    </bk>
    <bk>
      <rc t="2" v="1756"/>
    </bk>
    <bk>
      <rc t="2" v="1757"/>
    </bk>
    <bk>
      <rc t="2" v="1758"/>
    </bk>
    <bk>
      <rc t="2" v="1759"/>
    </bk>
    <bk>
      <rc t="2" v="1760"/>
    </bk>
    <bk>
      <rc t="2" v="1761"/>
    </bk>
    <bk>
      <rc t="2" v="1762"/>
    </bk>
    <bk>
      <rc t="2" v="1763"/>
    </bk>
    <bk>
      <rc t="2" v="1764"/>
    </bk>
    <bk>
      <rc t="2" v="1765"/>
    </bk>
    <bk>
      <rc t="2" v="1766"/>
    </bk>
    <bk>
      <rc t="2" v="1767"/>
    </bk>
    <bk>
      <rc t="2" v="1768"/>
    </bk>
    <bk>
      <rc t="2" v="1769"/>
    </bk>
    <bk>
      <rc t="2" v="1770"/>
    </bk>
    <bk>
      <rc t="2" v="1771"/>
    </bk>
    <bk>
      <rc t="2" v="1772"/>
    </bk>
    <bk>
      <rc t="2" v="1773"/>
    </bk>
    <bk>
      <rc t="2" v="1774"/>
    </bk>
    <bk>
      <rc t="2" v="1775"/>
    </bk>
    <bk>
      <rc t="2" v="1776"/>
    </bk>
    <bk>
      <rc t="2" v="1777"/>
    </bk>
    <bk>
      <rc t="2" v="1778"/>
    </bk>
    <bk>
      <rc t="2" v="1779"/>
    </bk>
    <bk>
      <rc t="2" v="1780"/>
    </bk>
    <bk>
      <rc t="2" v="1781"/>
    </bk>
    <bk>
      <rc t="2" v="1782"/>
    </bk>
    <bk>
      <rc t="2" v="1783"/>
    </bk>
    <bk>
      <rc t="2" v="1784"/>
    </bk>
    <bk>
      <rc t="2" v="1785"/>
    </bk>
    <bk>
      <rc t="2" v="1786"/>
    </bk>
    <bk>
      <rc t="2" v="1787"/>
    </bk>
    <bk>
      <rc t="2" v="1788"/>
    </bk>
    <bk>
      <rc t="2" v="1789"/>
    </bk>
    <bk>
      <rc t="2" v="1790"/>
    </bk>
    <bk>
      <rc t="2" v="1791"/>
    </bk>
    <bk>
      <rc t="2" v="1792"/>
    </bk>
    <bk>
      <rc t="2" v="1793"/>
    </bk>
    <bk>
      <rc t="2" v="1794"/>
    </bk>
    <bk>
      <rc t="2" v="1795"/>
    </bk>
    <bk>
      <rc t="2" v="1796"/>
    </bk>
    <bk>
      <rc t="2" v="1797"/>
    </bk>
    <bk>
      <rc t="2" v="1798"/>
    </bk>
    <bk>
      <rc t="2" v="1799"/>
    </bk>
    <bk>
      <rc t="2" v="1800"/>
    </bk>
    <bk>
      <rc t="2" v="1801"/>
    </bk>
    <bk>
      <rc t="2" v="1802"/>
    </bk>
    <bk>
      <rc t="2" v="1803"/>
    </bk>
    <bk>
      <rc t="2" v="1804"/>
    </bk>
    <bk>
      <rc t="2" v="1805"/>
    </bk>
    <bk>
      <rc t="2" v="1806"/>
    </bk>
    <bk>
      <rc t="2" v="1807"/>
    </bk>
    <bk>
      <rc t="2" v="1808"/>
    </bk>
    <bk>
      <rc t="2" v="1809"/>
    </bk>
    <bk>
      <rc t="2" v="1810"/>
    </bk>
    <bk>
      <rc t="2" v="1811"/>
    </bk>
    <bk>
      <rc t="2" v="1812"/>
    </bk>
    <bk>
      <rc t="2" v="1813"/>
    </bk>
    <bk>
      <rc t="2" v="1814"/>
    </bk>
    <bk>
      <rc t="2" v="1815"/>
    </bk>
    <bk>
      <rc t="2" v="1816"/>
    </bk>
    <bk>
      <rc t="2" v="1817"/>
    </bk>
    <bk>
      <rc t="2" v="1818"/>
    </bk>
    <bk>
      <rc t="2" v="1819"/>
    </bk>
    <bk>
      <rc t="2" v="1820"/>
    </bk>
    <bk>
      <rc t="2" v="1821"/>
    </bk>
    <bk>
      <rc t="2" v="1822"/>
    </bk>
    <bk>
      <rc t="2" v="1823"/>
    </bk>
    <bk>
      <rc t="2" v="1824"/>
    </bk>
    <bk>
      <rc t="2" v="1825"/>
    </bk>
    <bk>
      <rc t="2" v="1826"/>
    </bk>
    <bk>
      <rc t="2" v="1827"/>
    </bk>
    <bk>
      <rc t="2" v="1828"/>
    </bk>
    <bk>
      <rc t="2" v="1829"/>
    </bk>
    <bk>
      <rc t="2" v="1830"/>
    </bk>
    <bk>
      <rc t="2" v="1831"/>
    </bk>
    <bk>
      <rc t="2" v="1832"/>
    </bk>
    <bk>
      <rc t="2" v="1833"/>
    </bk>
    <bk>
      <rc t="2" v="1834"/>
    </bk>
    <bk>
      <rc t="2" v="1835"/>
    </bk>
    <bk>
      <rc t="2" v="1836"/>
    </bk>
    <bk>
      <rc t="2" v="1837"/>
    </bk>
    <bk>
      <rc t="2" v="1838"/>
    </bk>
    <bk>
      <rc t="2" v="1839"/>
    </bk>
    <bk>
      <rc t="2" v="1840"/>
    </bk>
    <bk>
      <rc t="2" v="1841"/>
    </bk>
    <bk>
      <rc t="2" v="1842"/>
    </bk>
    <bk>
      <rc t="2" v="1843"/>
    </bk>
    <bk>
      <rc t="2" v="1844"/>
    </bk>
    <bk>
      <rc t="2" v="1845"/>
    </bk>
    <bk>
      <rc t="2" v="1846"/>
    </bk>
    <bk>
      <rc t="2" v="1847"/>
    </bk>
    <bk>
      <rc t="2" v="1848"/>
    </bk>
    <bk>
      <rc t="2" v="1849"/>
    </bk>
    <bk>
      <rc t="2" v="1850"/>
    </bk>
    <bk>
      <rc t="2" v="1851"/>
    </bk>
    <bk>
      <rc t="2" v="1852"/>
    </bk>
    <bk>
      <rc t="2" v="1853"/>
    </bk>
    <bk>
      <rc t="2" v="1854"/>
    </bk>
    <bk>
      <rc t="2" v="1855"/>
    </bk>
    <bk>
      <rc t="2" v="1856"/>
    </bk>
    <bk>
      <rc t="2" v="1857"/>
    </bk>
    <bk>
      <rc t="2" v="1858"/>
    </bk>
    <bk>
      <rc t="2" v="1859"/>
    </bk>
    <bk>
      <rc t="2" v="1860"/>
    </bk>
    <bk>
      <rc t="2" v="1861"/>
    </bk>
    <bk>
      <rc t="2" v="1862"/>
    </bk>
    <bk>
      <rc t="2" v="1863"/>
    </bk>
    <bk>
      <rc t="2" v="1864"/>
    </bk>
    <bk>
      <rc t="2" v="1865"/>
    </bk>
    <bk>
      <rc t="2" v="1866"/>
    </bk>
    <bk>
      <rc t="2" v="1867"/>
    </bk>
    <bk>
      <rc t="2" v="1868"/>
    </bk>
    <bk>
      <rc t="2" v="1869"/>
    </bk>
    <bk>
      <rc t="2" v="1870"/>
    </bk>
    <bk>
      <rc t="2" v="1871"/>
    </bk>
    <bk>
      <rc t="2" v="1872"/>
    </bk>
    <bk>
      <rc t="2" v="1873"/>
    </bk>
    <bk>
      <rc t="2" v="1874"/>
    </bk>
    <bk>
      <rc t="2" v="1875"/>
    </bk>
    <bk>
      <rc t="2" v="1876"/>
    </bk>
    <bk>
      <rc t="2" v="1877"/>
    </bk>
    <bk>
      <rc t="2" v="1878"/>
    </bk>
    <bk>
      <rc t="2" v="1879"/>
    </bk>
    <bk>
      <rc t="2" v="1880"/>
    </bk>
    <bk>
      <rc t="2" v="1881"/>
    </bk>
    <bk>
      <rc t="2" v="1882"/>
    </bk>
    <bk>
      <rc t="2" v="1883"/>
    </bk>
    <bk>
      <rc t="2" v="1884"/>
    </bk>
    <bk>
      <rc t="2" v="1885"/>
    </bk>
    <bk>
      <rc t="2" v="1886"/>
    </bk>
    <bk>
      <rc t="2" v="1887"/>
    </bk>
    <bk>
      <rc t="2" v="1888"/>
    </bk>
    <bk>
      <rc t="2" v="1889"/>
    </bk>
    <bk>
      <rc t="2" v="1890"/>
    </bk>
    <bk>
      <rc t="2" v="1891"/>
    </bk>
    <bk>
      <rc t="2" v="1892"/>
    </bk>
    <bk>
      <rc t="2" v="1893"/>
    </bk>
    <bk>
      <rc t="2" v="1894"/>
    </bk>
    <bk>
      <rc t="2" v="1895"/>
    </bk>
    <bk>
      <rc t="2" v="1896"/>
    </bk>
    <bk>
      <rc t="2" v="1897"/>
    </bk>
    <bk>
      <rc t="2" v="1898"/>
    </bk>
    <bk>
      <rc t="2" v="1899"/>
    </bk>
    <bk>
      <rc t="2" v="1900"/>
    </bk>
    <bk>
      <rc t="2" v="1901"/>
    </bk>
    <bk>
      <rc t="2" v="1902"/>
    </bk>
    <bk>
      <rc t="2" v="1903"/>
    </bk>
    <bk>
      <rc t="2" v="1904"/>
    </bk>
    <bk>
      <rc t="2" v="1905"/>
    </bk>
    <bk>
      <rc t="2" v="1906"/>
    </bk>
    <bk>
      <rc t="2" v="1907"/>
    </bk>
    <bk>
      <rc t="2" v="1908"/>
    </bk>
    <bk>
      <rc t="2" v="1909"/>
    </bk>
    <bk>
      <rc t="2" v="1910"/>
    </bk>
    <bk>
      <rc t="2" v="1911"/>
    </bk>
    <bk>
      <rc t="2" v="1912"/>
    </bk>
    <bk>
      <rc t="2" v="1913"/>
    </bk>
    <bk>
      <rc t="2" v="1914"/>
    </bk>
    <bk>
      <rc t="2" v="1915"/>
    </bk>
    <bk>
      <rc t="2" v="1916"/>
    </bk>
    <bk>
      <rc t="2" v="1917"/>
    </bk>
    <bk>
      <rc t="2" v="1918"/>
    </bk>
    <bk>
      <rc t="2" v="1919"/>
    </bk>
    <bk>
      <rc t="2" v="1920"/>
    </bk>
    <bk>
      <rc t="2" v="1921"/>
    </bk>
    <bk>
      <rc t="2" v="1922"/>
    </bk>
    <bk>
      <rc t="2" v="1923"/>
    </bk>
    <bk>
      <rc t="2" v="1924"/>
    </bk>
    <bk>
      <rc t="2" v="1925"/>
    </bk>
    <bk>
      <rc t="2" v="1926"/>
    </bk>
    <bk>
      <rc t="2" v="1927"/>
    </bk>
    <bk>
      <rc t="2" v="1928"/>
    </bk>
    <bk>
      <rc t="2" v="1929"/>
    </bk>
    <bk>
      <rc t="2" v="1930"/>
    </bk>
    <bk>
      <rc t="2" v="1931"/>
    </bk>
    <bk>
      <rc t="2" v="1932"/>
    </bk>
    <bk>
      <rc t="2" v="1933"/>
    </bk>
    <bk>
      <rc t="2" v="1934"/>
    </bk>
    <bk>
      <rc t="2" v="1935"/>
    </bk>
    <bk>
      <rc t="2" v="1936"/>
    </bk>
    <bk>
      <rc t="2" v="1937"/>
    </bk>
    <bk>
      <rc t="2" v="1938"/>
    </bk>
    <bk>
      <rc t="2" v="1939"/>
    </bk>
    <bk>
      <rc t="2" v="1940"/>
    </bk>
    <bk>
      <rc t="2" v="1941"/>
    </bk>
    <bk>
      <rc t="2" v="1942"/>
    </bk>
    <bk>
      <rc t="2" v="1943"/>
    </bk>
    <bk>
      <rc t="2" v="1944"/>
    </bk>
    <bk>
      <rc t="2" v="1945"/>
    </bk>
    <bk>
      <rc t="2" v="1946"/>
    </bk>
    <bk>
      <rc t="2" v="1947"/>
    </bk>
    <bk>
      <rc t="2" v="1948"/>
    </bk>
    <bk>
      <rc t="2" v="1949"/>
    </bk>
    <bk>
      <rc t="2" v="1950"/>
    </bk>
    <bk>
      <rc t="2" v="1951"/>
    </bk>
    <bk>
      <rc t="2" v="1952"/>
    </bk>
    <bk>
      <rc t="2" v="1953"/>
    </bk>
    <bk>
      <rc t="2" v="1954"/>
    </bk>
    <bk>
      <rc t="2" v="1955"/>
    </bk>
  </valueMetadata>
</metadata>
</file>

<file path=xl/sharedStrings.xml><?xml version="1.0" encoding="utf-8"?>
<sst xmlns="http://schemas.openxmlformats.org/spreadsheetml/2006/main" count="101" uniqueCount="27">
  <si>
    <t>Date</t>
  </si>
  <si>
    <t>Stock</t>
  </si>
  <si>
    <t>Transaction</t>
  </si>
  <si>
    <t>Units</t>
  </si>
  <si>
    <t>Price</t>
  </si>
  <si>
    <t>Currency</t>
  </si>
  <si>
    <t>Transaction Amount</t>
  </si>
  <si>
    <t>BUY</t>
  </si>
  <si>
    <t>SELL</t>
  </si>
  <si>
    <t>EUR</t>
  </si>
  <si>
    <t>USD</t>
  </si>
  <si>
    <t>Ticker</t>
  </si>
  <si>
    <t>Current Holdings</t>
  </si>
  <si>
    <t>Stock (Exchange:Ticker)</t>
  </si>
  <si>
    <t>Industry</t>
  </si>
  <si>
    <t>Current Price</t>
  </si>
  <si>
    <t>Market Value</t>
  </si>
  <si>
    <t>Gain/(Loss)</t>
  </si>
  <si>
    <t>Last 12 Month</t>
  </si>
  <si>
    <t xml:space="preserve"> </t>
  </si>
  <si>
    <t>Change</t>
  </si>
  <si>
    <t xml:space="preserve">        Today's</t>
  </si>
  <si>
    <t>Total Holding Market Value</t>
  </si>
  <si>
    <t>FX Rate</t>
  </si>
  <si>
    <t xml:space="preserve">
Today's
</t>
  </si>
  <si>
    <t>Portfolio by Industry</t>
  </si>
  <si>
    <t>SXR8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</si>
</sst>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_);[Red]\(#,##0.00\ &quot;€&quot;\)"/>
    <numFmt numFmtId="44" formatCode="_ * #,##0.00_)\ &quot;€&quot;_ ;_ * \(#,##0.00\)\ &quot;€&quot;_ ;_ * &quot;-&quot;??_)\ &quot;€&quot;_ ;_ @_ "/>
    <numFmt numFmtId="164" formatCode="_([$$-409]* #,##0.00_);_([$$-409]* \(#,##0.00\);_([$$-409]* &quot;-&quot;??_);_(@_)"/>
    <numFmt numFmtId="165" formatCode="_-* #,##0.00\ [$€-40C]_-;\-* #,##0.00\ [$€-40C]_-;_-* &quot;-&quot;??\ [$€-40C]_-;_-@_-"/>
  </numFmts>
  <fonts count="8" x14ac:knownFonts="1">
    <font>
      <sz val="12"/>
      <color theme="1"/>
      <name val="Aptos Narrow"/>
      <family val="2"/>
      <scheme val="minor"/>
    </font>
    <font>
      <sz val="36"/>
      <color theme="0"/>
      <name val="Arial"/>
      <family val="2"/>
    </font>
    <font>
      <sz val="12"/>
      <color theme="1"/>
      <name val="Aptos Narrow"/>
      <family val="2"/>
      <scheme val="minor"/>
    </font>
    <font>
      <sz val="12"/>
      <color rgb="FFFF0000"/>
      <name val="Aptos Narrow"/>
      <family val="2"/>
      <scheme val="minor"/>
    </font>
    <font>
      <sz val="12"/>
      <color theme="0"/>
      <name val="Aptos Narrow"/>
      <family val="2"/>
      <scheme val="minor"/>
    </font>
    <font>
      <sz val="12"/>
      <color theme="0"/>
      <name val="Aptos Narrow (Corps)"/>
    </font>
    <font>
      <b/>
      <sz val="12"/>
      <color theme="0"/>
      <name val="Aptos Narrow (Corps)"/>
    </font>
    <font>
      <b/>
      <sz val="12"/>
      <color theme="0"/>
      <name val="Aptos Narrow"/>
      <scheme val="minor"/>
    </font>
  </fonts>
  <fills count="6">
    <fill>
      <patternFill patternType="none"/>
    </fill>
    <fill>
      <patternFill patternType="gray125"/>
    </fill>
    <fill>
      <patternFill patternType="solid">
        <fgColor theme="3" tint="0.249977111117893"/>
        <bgColor indexed="64"/>
      </patternFill>
    </fill>
    <fill>
      <patternFill patternType="solid">
        <fgColor theme="3" tint="0.499984740745262"/>
        <bgColor indexed="64"/>
      </patternFill>
    </fill>
    <fill>
      <patternFill patternType="solid">
        <fgColor rgb="FF63A4F7"/>
        <bgColor indexed="64"/>
      </patternFill>
    </fill>
    <fill>
      <patternFill patternType="solid">
        <fgColor rgb="FF4C93D9"/>
        <bgColor indexed="64"/>
      </patternFill>
    </fill>
  </fills>
  <borders count="7">
    <border>
      <left/>
      <right/>
      <top/>
      <bottom/>
      <diagonal/>
    </border>
    <border>
      <left/>
      <right/>
      <top/>
      <bottom style="thin">
        <color theme="3" tint="0.249977111117893"/>
      </bottom>
      <diagonal/>
    </border>
    <border>
      <left style="medium">
        <color theme="3" tint="0.249977111117893"/>
      </left>
      <right/>
      <top style="medium">
        <color theme="3" tint="0.249977111117893"/>
      </top>
      <bottom/>
      <diagonal/>
    </border>
    <border>
      <left/>
      <right style="medium">
        <color theme="3" tint="0.249977111117893"/>
      </right>
      <top style="medium">
        <color theme="3" tint="0.249977111117893"/>
      </top>
      <bottom/>
      <diagonal/>
    </border>
    <border>
      <left style="medium">
        <color theme="3" tint="0.249977111117893"/>
      </left>
      <right/>
      <top/>
      <bottom style="medium">
        <color theme="3" tint="0.249977111117893"/>
      </bottom>
      <diagonal/>
    </border>
    <border>
      <left/>
      <right style="medium">
        <color theme="3" tint="0.249977111117893"/>
      </right>
      <top/>
      <bottom style="medium">
        <color theme="3" tint="0.249977111117893"/>
      </bottom>
      <diagonal/>
    </border>
    <border>
      <left style="thin">
        <color theme="4" tint="0.39997558519241921"/>
      </left>
      <right/>
      <top style="thin">
        <color theme="4" tint="0.39997558519241921"/>
      </top>
      <bottom/>
      <diagonal/>
    </border>
  </borders>
  <cellStyleXfs count="2">
    <xf numFmtId="0" fontId="0" fillId="0" borderId="0"/>
    <xf numFmtId="44" fontId="2" fillId="0" borderId="0" applyFont="0" applyFill="0" applyBorder="0" applyAlignment="0" applyProtection="0"/>
  </cellStyleXfs>
  <cellXfs count="29">
    <xf numFmtId="0" fontId="0" fillId="0" borderId="0" xfId="0"/>
    <xf numFmtId="0" fontId="1" fillId="2" borderId="0" xfId="0" applyFont="1" applyFill="1"/>
    <xf numFmtId="0" fontId="0" fillId="2" borderId="0" xfId="0" applyFill="1"/>
    <xf numFmtId="14" fontId="0" fillId="0" borderId="0" xfId="0" applyNumberFormat="1"/>
    <xf numFmtId="0" fontId="0" fillId="3" borderId="0" xfId="0" applyFill="1"/>
    <xf numFmtId="0" fontId="6" fillId="3" borderId="0" xfId="0" applyFont="1" applyFill="1"/>
    <xf numFmtId="0" fontId="0" fillId="0" borderId="1" xfId="0" applyBorder="1"/>
    <xf numFmtId="10" fontId="0" fillId="0" borderId="0" xfId="0" applyNumberFormat="1"/>
    <xf numFmtId="44" fontId="0" fillId="0" borderId="0" xfId="0" applyNumberFormat="1"/>
    <xf numFmtId="0" fontId="5" fillId="2" borderId="0" xfId="0" applyFont="1" applyFill="1" applyAlignment="1">
      <alignment wrapText="1"/>
    </xf>
    <xf numFmtId="40" fontId="0" fillId="0" borderId="0" xfId="0" applyNumberFormat="1"/>
    <xf numFmtId="8" fontId="0" fillId="0" borderId="0" xfId="0" applyNumberFormat="1"/>
    <xf numFmtId="165" fontId="7" fillId="2" borderId="0" xfId="1" applyNumberFormat="1" applyFont="1" applyFill="1" applyAlignment="1">
      <alignment horizontal="center" vertical="center"/>
    </xf>
    <xf numFmtId="40" fontId="4" fillId="2" borderId="0" xfId="0" applyNumberFormat="1" applyFont="1" applyFill="1" applyAlignment="1">
      <alignment vertical="center"/>
    </xf>
    <xf numFmtId="0" fontId="4" fillId="2" borderId="0" xfId="0" applyFont="1" applyFill="1" applyAlignment="1">
      <alignment horizontal="right" vertical="center" wrapText="1"/>
    </xf>
    <xf numFmtId="0" fontId="4" fillId="2" borderId="0" xfId="0" applyFont="1" applyFill="1" applyAlignment="1">
      <alignment horizontal="left" vertical="center"/>
    </xf>
    <xf numFmtId="10" fontId="3" fillId="2" borderId="0" xfId="0" applyNumberFormat="1" applyFont="1" applyFill="1" applyAlignment="1">
      <alignment horizontal="center" vertical="center"/>
    </xf>
    <xf numFmtId="0" fontId="7" fillId="2" borderId="0" xfId="0" applyFont="1" applyFill="1" applyAlignment="1">
      <alignment horizontal="center" vertical="center"/>
    </xf>
    <xf numFmtId="164" fontId="7" fillId="2" borderId="0" xfId="0" applyNumberFormat="1" applyFont="1" applyFill="1" applyAlignment="1">
      <alignment horizontal="left" vertical="center"/>
    </xf>
    <xf numFmtId="0" fontId="0" fillId="5" borderId="0" xfId="0" applyFill="1"/>
    <xf numFmtId="0" fontId="6" fillId="5" borderId="0" xfId="0" applyFont="1" applyFill="1"/>
    <xf numFmtId="0" fontId="4" fillId="4" borderId="2" xfId="0" applyFont="1" applyFill="1" applyBorder="1"/>
    <xf numFmtId="164" fontId="4" fillId="4" borderId="3" xfId="0" applyNumberFormat="1" applyFont="1" applyFill="1" applyBorder="1"/>
    <xf numFmtId="164" fontId="4" fillId="4" borderId="4" xfId="0" applyNumberFormat="1" applyFont="1" applyFill="1" applyBorder="1"/>
    <xf numFmtId="0" fontId="4" fillId="4" borderId="5" xfId="0" applyFont="1" applyFill="1" applyBorder="1"/>
    <xf numFmtId="0" fontId="0" fillId="0" borderId="0" xfId="0" applyNumberFormat="1"/>
    <xf numFmtId="14" fontId="0" fillId="0" borderId="6" xfId="0" applyNumberFormat="1" applyFont="1" applyBorder="1"/>
    <xf numFmtId="0" fontId="0" fillId="0" borderId="0" xfId="0" applyBorder="1"/>
    <xf numFmtId="0" fontId="0" fillId="0" borderId="0" xfId="0" applyNumberFormat="1" applyBorder="1"/>
  </cellXfs>
  <cellStyles count="2">
    <cellStyle name="Monétaire" xfId="1" builtinId="4"/>
    <cellStyle name="Normal" xfId="0" builtinId="0"/>
  </cellStyles>
  <dxfs count="3">
    <dxf>
      <numFmt numFmtId="0" formatCode="General"/>
    </dxf>
    <dxf>
      <numFmt numFmtId="0" formatCode="General"/>
    </dxf>
    <dxf>
      <numFmt numFmtId="19" formatCode="dd/mm/yyyy"/>
    </dxf>
  </dxfs>
  <tableStyles count="0" defaultTableStyle="TableStyleMedium2" defaultPivotStyle="PivotStyleLight16"/>
  <colors>
    <mruColors>
      <color rgb="FF4C93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Structure" Target="richData/rdsupportingpropertybagstructure.xml"/><Relationship Id="rId5" Type="http://schemas.openxmlformats.org/officeDocument/2006/relationships/sharedStrings" Target="sharedStrings.xml"/><Relationship Id="rId10" Type="http://schemas.microsoft.com/office/2017/06/relationships/richStyles" Target="richData/richStyles.xml"/><Relationship Id="rId4" Type="http://schemas.openxmlformats.org/officeDocument/2006/relationships/styles" Target="styles.xml"/><Relationship Id="rId9" Type="http://schemas.microsoft.com/office/2017/06/relationships/rdArray" Target="richData/rdarray.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0"/>
    <c:plotArea>
      <c:layout/>
      <c:pieChart>
        <c:varyColors val="1"/>
        <c:ser>
          <c:idx val="0"/>
          <c:order val="0"/>
          <c:dPt>
            <c:idx val="0"/>
            <c:bubble3D val="0"/>
            <c:spPr>
              <a:solidFill>
                <a:schemeClr val="accent4">
                  <a:shade val="53000"/>
                </a:schemeClr>
              </a:solidFill>
              <a:ln w="19050">
                <a:solidFill>
                  <a:schemeClr val="lt1"/>
                </a:solidFill>
              </a:ln>
              <a:effectLst/>
            </c:spPr>
            <c:extLst>
              <c:ext xmlns:c16="http://schemas.microsoft.com/office/drawing/2014/chart" uri="{C3380CC4-5D6E-409C-BE32-E72D297353CC}">
                <c16:uniqueId val="{00000001-35F1-5645-9412-2A0BF42F8B42}"/>
              </c:ext>
            </c:extLst>
          </c:dPt>
          <c:dPt>
            <c:idx val="1"/>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3-35F1-5645-9412-2A0BF42F8B4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35F1-5645-9412-2A0BF42F8B42}"/>
              </c:ext>
            </c:extLst>
          </c:dPt>
          <c:dPt>
            <c:idx val="3"/>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7-35F1-5645-9412-2A0BF42F8B42}"/>
              </c:ext>
            </c:extLst>
          </c:dPt>
          <c:dPt>
            <c:idx val="4"/>
            <c:bubble3D val="0"/>
            <c:spPr>
              <a:solidFill>
                <a:schemeClr val="accent4">
                  <a:tint val="54000"/>
                </a:schemeClr>
              </a:solidFill>
              <a:ln w="19050">
                <a:solidFill>
                  <a:schemeClr val="lt1"/>
                </a:solidFill>
              </a:ln>
              <a:effectLst/>
            </c:spPr>
            <c:extLst>
              <c:ext xmlns:c16="http://schemas.microsoft.com/office/drawing/2014/chart" uri="{C3380CC4-5D6E-409C-BE32-E72D297353CC}">
                <c16:uniqueId val="{00000009-35F1-5645-9412-2A0BF42F8B4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Dashboard!$B$16:$B$20</c:f>
              <c:strCache>
                <c:ptCount val="5"/>
                <c:pt idx="0">
                  <c:v>Software &amp; IT Services</c:v>
                </c:pt>
                <c:pt idx="1">
                  <c:v>Diversified Retail</c:v>
                </c:pt>
                <c:pt idx="2">
                  <c:v>Semiconductors &amp; Semiconductor Equipment</c:v>
                </c:pt>
                <c:pt idx="3">
                  <c:v>ETF</c:v>
                </c:pt>
                <c:pt idx="4">
                  <c:v>Banking Services</c:v>
                </c:pt>
              </c:strCache>
            </c:strRef>
          </c:cat>
          <c:val>
            <c:numRef>
              <c:f>Dashboard!$C$16:$C$20</c:f>
              <c:numCache>
                <c:formatCode>_("€"* #,##0.00_);_("€"* \(#,##0.00\);_("€"* "-"??_);_(@_)</c:formatCode>
                <c:ptCount val="5"/>
                <c:pt idx="0">
                  <c:v>857.0230939999999</c:v>
                </c:pt>
                <c:pt idx="1">
                  <c:v>43.461599999999997</c:v>
                </c:pt>
                <c:pt idx="2">
                  <c:v>717.52</c:v>
                </c:pt>
                <c:pt idx="3">
                  <c:v>1430.4263040000001</c:v>
                </c:pt>
                <c:pt idx="4">
                  <c:v>318.27999999999997</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E140-5C4C-8056-4F4FF90EFFBC}"/>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203200</xdr:rowOff>
    </xdr:from>
    <xdr:to>
      <xdr:col>4</xdr:col>
      <xdr:colOff>215900</xdr:colOff>
      <xdr:row>1</xdr:row>
      <xdr:rowOff>254000</xdr:rowOff>
    </xdr:to>
    <xdr:sp macro="" textlink="">
      <xdr:nvSpPr>
        <xdr:cNvPr id="2" name="ZoneTexte 1">
          <a:extLst>
            <a:ext uri="{FF2B5EF4-FFF2-40B4-BE49-F238E27FC236}">
              <a16:creationId xmlns:a16="http://schemas.microsoft.com/office/drawing/2014/main" id="{ED3F15C9-DEE3-777B-7771-7201718FB93F}"/>
            </a:ext>
          </a:extLst>
        </xdr:cNvPr>
        <xdr:cNvSpPr txBox="1"/>
      </xdr:nvSpPr>
      <xdr:spPr>
        <a:xfrm>
          <a:off x="215900" y="203200"/>
          <a:ext cx="6832600" cy="558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3600">
              <a:solidFill>
                <a:schemeClr val="bg1"/>
              </a:solidFill>
            </a:rPr>
            <a:t>Personal Stock Portfolio Dashboard</a:t>
          </a:r>
        </a:p>
        <a:p>
          <a:endParaRPr lang="fr-FR" sz="3600">
            <a:solidFill>
              <a:schemeClr val="bg1"/>
            </a:solidFill>
          </a:endParaRPr>
        </a:p>
      </xdr:txBody>
    </xdr:sp>
    <xdr:clientData/>
  </xdr:twoCellAnchor>
  <xdr:twoCellAnchor>
    <xdr:from>
      <xdr:col>3</xdr:col>
      <xdr:colOff>101504</xdr:colOff>
      <xdr:row>14</xdr:row>
      <xdr:rowOff>55191</xdr:rowOff>
    </xdr:from>
    <xdr:to>
      <xdr:col>11</xdr:col>
      <xdr:colOff>28221</xdr:colOff>
      <xdr:row>20</xdr:row>
      <xdr:rowOff>61148</xdr:rowOff>
    </xdr:to>
    <xdr:graphicFrame macro="">
      <xdr:nvGraphicFramePr>
        <xdr:cNvPr id="4" name="Graphique 3">
          <a:extLst>
            <a:ext uri="{FF2B5EF4-FFF2-40B4-BE49-F238E27FC236}">
              <a16:creationId xmlns:a16="http://schemas.microsoft.com/office/drawing/2014/main" id="{57B7018F-D9DF-7696-67D3-1A4CB0529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656167</xdr:colOff>
      <xdr:row>3</xdr:row>
      <xdr:rowOff>42334</xdr:rowOff>
    </xdr:from>
    <xdr:to>
      <xdr:col>266</xdr:col>
      <xdr:colOff>296334</xdr:colOff>
      <xdr:row>15</xdr:row>
      <xdr:rowOff>317500</xdr:rowOff>
    </xdr:to>
    <xdr:sp macro="" textlink="">
      <xdr:nvSpPr>
        <xdr:cNvPr id="3" name="Rectangle 2">
          <a:extLst>
            <a:ext uri="{FF2B5EF4-FFF2-40B4-BE49-F238E27FC236}">
              <a16:creationId xmlns:a16="http://schemas.microsoft.com/office/drawing/2014/main" id="{69CF38FE-C376-0157-0B83-813E138B1285}"/>
            </a:ext>
          </a:extLst>
        </xdr:cNvPr>
        <xdr:cNvSpPr/>
      </xdr:nvSpPr>
      <xdr:spPr>
        <a:xfrm>
          <a:off x="14478000" y="1481667"/>
          <a:ext cx="210142667" cy="315383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9">
  <a r="1" c="251">
    <v t="i">0</v>
    <v t="i">1</v>
    <v t="i">2</v>
    <v t="i">3</v>
    <v t="i">7</v>
    <v t="i">8</v>
    <v t="i">9</v>
    <v t="i">10</v>
    <v t="i">13</v>
    <v t="i">14</v>
    <v t="i">15</v>
    <v t="i">16</v>
    <v t="i">17</v>
    <v t="i">20</v>
    <v t="i">21</v>
    <v t="i">22</v>
    <v t="i">23</v>
    <v t="i">24</v>
    <v t="i">27</v>
    <v t="i">28</v>
    <v t="i">29</v>
    <v t="i">30</v>
    <v t="i">31</v>
    <v t="i">34</v>
    <v t="i">35</v>
    <v t="i">36</v>
    <v t="i">37</v>
    <v t="i">38</v>
    <v t="i">41</v>
    <v t="i">42</v>
    <v t="i">43</v>
    <v t="i">44</v>
    <v t="i">45</v>
    <v t="i">48</v>
    <v t="i">49</v>
    <v t="i">50</v>
    <v t="i">51</v>
    <v t="i">52</v>
    <v t="i">55</v>
    <v t="i">56</v>
    <v t="i">57</v>
    <v t="i">58</v>
    <v t="i">59</v>
    <v t="i">62</v>
    <v t="i">63</v>
    <v t="i">64</v>
    <v t="i">65</v>
    <v t="i">69</v>
    <v t="i">70</v>
    <v t="i">71</v>
    <v t="i">72</v>
    <v t="i">73</v>
    <v t="i">76</v>
    <v t="i">77</v>
    <v t="i">78</v>
    <v t="i">79</v>
    <v t="i">80</v>
    <v t="i">83</v>
    <v t="i">84</v>
    <v t="i">85</v>
    <v t="i">86</v>
    <v t="i">87</v>
    <v t="i">90</v>
    <v t="i">91</v>
    <v t="i">92</v>
    <v t="i">93</v>
    <v t="i">94</v>
    <v t="i">97</v>
    <v t="i">98</v>
    <v t="i">99</v>
    <v t="i">100</v>
    <v t="i">101</v>
    <v t="i">105</v>
    <v t="i">106</v>
    <v t="i">107</v>
    <v t="i">108</v>
    <v t="i">111</v>
    <v t="i">112</v>
    <v t="i">113</v>
    <v t="i">114</v>
    <v t="i">115</v>
    <v t="i">118</v>
    <v t="i">119</v>
    <v t="i">120</v>
    <v t="i">121</v>
    <v t="i">122</v>
    <v t="i">125</v>
    <v t="i">126</v>
    <v t="i">127</v>
    <v t="i">129</v>
    <v t="i">132</v>
    <v t="i">133</v>
    <v t="i">134</v>
    <v t="i">135</v>
    <v t="i">136</v>
    <v t="i">139</v>
    <v t="i">140</v>
    <v t="i">141</v>
    <v t="i">142</v>
    <v t="i">146</v>
    <v t="i">147</v>
    <v t="i">148</v>
    <v t="i">149</v>
    <v t="i">150</v>
    <v t="i">153</v>
    <v t="i">154</v>
    <v t="i">155</v>
    <v t="i">156</v>
    <v t="i">157</v>
    <v t="i">160</v>
    <v t="i">161</v>
    <v t="i">162</v>
    <v t="i">163</v>
    <v t="i">164</v>
    <v t="i">167</v>
    <v t="i">168</v>
    <v t="i">169</v>
    <v t="i">170</v>
    <v t="i">171</v>
    <v t="i">174</v>
    <v t="i">175</v>
    <v t="i">176</v>
    <v t="i">177</v>
    <v t="i">178</v>
    <v t="i">181</v>
    <v t="i">182</v>
    <v t="i">183</v>
    <v t="i">184</v>
    <v t="i">185</v>
    <v t="i">188</v>
    <v t="i">189</v>
    <v t="i">190</v>
    <v t="i">191</v>
    <v t="i">192</v>
    <v t="i">195</v>
    <v t="i">196</v>
    <v t="i">197</v>
    <v t="i">198</v>
    <v t="i">199</v>
    <v t="i">203</v>
    <v t="i">204</v>
    <v t="i">205</v>
    <v t="i">206</v>
    <v t="i">209</v>
    <v t="i">210</v>
    <v t="i">211</v>
    <v t="i">212</v>
    <v t="i">213</v>
    <v t="i">216</v>
    <v t="i">217</v>
    <v t="i">218</v>
    <v t="i">219</v>
    <v t="i">220</v>
    <v t="i">223</v>
    <v t="i">224</v>
    <v t="i">225</v>
    <v t="i">226</v>
    <v t="i">227</v>
    <v t="i">230</v>
    <v t="i">231</v>
    <v t="i">232</v>
    <v t="i">233</v>
    <v t="i">234</v>
    <v t="i">237</v>
    <v t="i">238</v>
    <v t="i">239</v>
    <v t="i">240</v>
    <v t="i">241</v>
    <v t="i">244</v>
    <v t="i">245</v>
    <v t="i">246</v>
    <v t="i">247</v>
    <v t="i">248</v>
    <v t="i">251</v>
    <v t="i">252</v>
    <v t="i">253</v>
    <v t="i">254</v>
    <v t="i">255</v>
    <v t="i">258</v>
    <v t="i">259</v>
    <v t="i">260</v>
    <v t="i">261</v>
    <v t="i">262</v>
    <v t="i">265</v>
    <v t="i">266</v>
    <v t="i">267</v>
    <v t="i">268</v>
    <v t="i">269</v>
    <v t="i">272</v>
    <v t="i">273</v>
    <v t="i">274</v>
    <v t="i">275</v>
    <v t="i">276</v>
    <v t="i">279</v>
    <v t="i">280</v>
    <v t="i">281</v>
    <v t="i">282</v>
    <v t="i">283</v>
    <v t="i">286</v>
    <v t="i">287</v>
    <v t="i">288</v>
    <v t="i">290</v>
    <v t="i">293</v>
    <v t="i">294</v>
    <v t="i">295</v>
    <v t="i">296</v>
    <v t="i">297</v>
    <v t="i">300</v>
    <v t="i">301</v>
    <v t="i">302</v>
    <v t="i">303</v>
    <v t="i">304</v>
    <v t="i">307</v>
    <v t="i">308</v>
    <v t="i">309</v>
    <v t="i">310</v>
    <v t="i">311</v>
    <v t="i">314</v>
    <v t="i">315</v>
    <v t="i">316</v>
    <v t="i">318</v>
    <v t="i">321</v>
    <v t="i">322</v>
    <v t="i">323</v>
    <v t="i">325</v>
    <v t="i">328</v>
    <v t="i">329</v>
    <v t="i">330</v>
    <v t="i">331</v>
    <v t="i">332</v>
    <v t="i">335</v>
    <v t="i">336</v>
    <v t="i">337</v>
    <v t="i">338</v>
    <v t="i">339</v>
    <v t="i">343</v>
    <v t="i">344</v>
    <v t="i">345</v>
    <v t="i">346</v>
    <v t="i">349</v>
    <v t="i">350</v>
    <v t="i">351</v>
    <v t="i">352</v>
    <v t="i">353</v>
    <v t="i">356</v>
    <v t="i">357</v>
    <v t="i">358</v>
    <v t="i">359</v>
    <v t="i">360</v>
    <v t="i">363</v>
    <v t="i">364</v>
  </a>
  <a r="1" c="251">
    <v>274.99</v>
    <v>275.45</v>
    <v>276.32</v>
    <v>276.58999999999997</v>
    <v>279.95</v>
    <v>279.25</v>
    <v>266.8</v>
    <v>264.24</v>
    <v>261.33999999999997</v>
    <v>257.39999999999998</v>
    <v>258.79000000000002</v>
    <v>259.05</v>
    <v>264.64999999999998</v>
    <v>260.62</v>
    <v>250.25</v>
    <v>251.53</v>
    <v>246.54</v>
    <v>242.28</v>
    <v>232.22</v>
    <v>229.14</v>
    <v>227.9</v>
    <v>225.19</v>
    <v>232.44</v>
    <v>233.93</v>
    <v>234.97</v>
    <v>239.11</v>
    <v>239.01</v>
    <v>241.63</v>
    <v>248.06</v>
    <v>251.13</v>
    <v>251.03</v>
    <v>248.12</v>
    <v>242.85</v>
    <v>245.3</v>
    <v>243.66</v>
    <v>245.82</v>
    <v>228.69</v>
    <v>210.28</v>
    <v>214.44</v>
    <v>216.87</v>
    <v>234.34</v>
    <v>227.11</v>
    <v>236.2</v>
    <v>234.72</v>
    <v>233.13</v>
    <v>229.61</v>
    <v>231.96</v>
    <v>228.99</v>
    <v>235.59</v>
    <v>240.88</v>
    <v>244.64</v>
    <v>243.55</v>
    <v>243.22</v>
    <v>244.62</v>
    <v>244.62</v>
    <v>246.89</v>
    <v>252.51</v>
    <v>252.56</v>
    <v>249.25</v>
    <v>249.39</v>
    <v>253.47</v>
    <v>253.08</v>
    <v>260.05</v>
    <v>263.01</v>
    <v>265.64</v>
    <v>267.49</v>
    <v>267.56</v>
    <v>264.88</v>
    <v>265.68</v>
    <v>261.04000000000002</v>
    <v>260.67</v>
    <v>260.70999999999998</v>
    <v>265.29000000000002</v>
    <v>263.49</v>
    <v>264.37</v>
    <v>264</v>
    <v>264.66000000000003</v>
    <v>266.27</v>
    <v>264.22000000000003</v>
    <v>261.95</v>
    <v>265.73</v>
    <v>266.74</v>
    <v>268.60000000000002</v>
    <v>268.14999999999998</v>
    <v>268.24</v>
    <v>264.95</v>
    <v>270.36</v>
    <v>269.52</v>
    <v>273.95999999999998</v>
    <v>275</v>
    <v>278.27</v>
    <v>281.26</v>
    <v>284.06</v>
    <v>288.75</v>
    <v>287.11</v>
    <v>289.91000000000003</v>
    <v>290.41000000000003</v>
    <v>292</v>
    <v>296</v>
    <v>291.97000000000003</v>
    <v>282.77999999999997</v>
    <v>283.16000000000003</v>
    <v>288.19</v>
    <v>286.86</v>
    <v>288.7</v>
    <v>286.55</v>
    <v>285.82</v>
    <v>289.89999999999998</v>
    <v>291.27</v>
    <v>290.97000000000003</v>
    <v>291.43</v>
    <v>296.76</v>
    <v>296.55</v>
    <v>298.62</v>
    <v>298.27999999999997</v>
    <v>297.04000000000002</v>
    <v>299.63</v>
    <v>296.24</v>
    <v>289.37</v>
    <v>294.26</v>
    <v>291.37</v>
    <v>291.35000000000002</v>
    <v>286.94</v>
    <v>288.76</v>
    <v>289.56</v>
    <v>292.85000000000002</v>
    <v>290.52999999999997</v>
    <v>294.16000000000003</v>
    <v>290.49</v>
    <v>291.52999999999997</v>
    <v>290.66000000000003</v>
    <v>292.24</v>
    <v>291.47000000000003</v>
    <v>296.24</v>
    <v>294.89999999999998</v>
    <v>298.57</v>
    <v>299.27999999999997</v>
    <v>301.07</v>
    <v>301.42</v>
    <v>299.7</v>
    <v>299.51</v>
    <v>303.82</v>
    <v>294.38</v>
    <v>292.91000000000003</v>
    <v>297.85000000000002</v>
    <v>300.54000000000002</v>
    <v>305.56</v>
    <v>306.91000000000003</v>
    <v>308.89999999999998</v>
    <v>309.19</v>
    <v>311.75</v>
    <v>313.23</v>
    <v>314.77999999999997</v>
    <v>312.44</v>
    <v>312.74</v>
    <v>313.42</v>
    <v>313.45</v>
    <v>316.06</v>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a>
  <a r="1" c="251">
    <v>235.04</v>
    <v>236.35</v>
    <v>235.8</v>
    <v>233.04</v>
    <v>228.53</v>
    <v>228.73</v>
    <v>226.74</v>
    <v>218.66</v>
    <v>207.93</v>
    <v>202.54</v>
    <v>212.94</v>
    <v>197.8</v>
    <v>199.43</v>
    <v>187.37</v>
    <v>187.48</v>
    <v>191.58</v>
    <v>179.45</v>
    <v>194.96</v>
    <v>184.45</v>
    <v>190.09</v>
    <v>194.23</v>
    <v>191.36</v>
    <v>195.54</v>
    <v>194.5</v>
    <v>188.67</v>
    <v>195.57</v>
    <v>190.54</v>
    <v>191.66</v>
    <v>191.25</v>
    <v>188.26</v>
    <v>179.27</v>
    <v>171.99</v>
    <v>169.12</v>
    <v>167.43</v>
    <v>168.52</v>
    <v>172.09</v>
    <v>154.01</v>
    <v>146.29</v>
    <v>154.13999999999999</v>
    <v>156.03</v>
    <v>185.15</v>
    <v>172.3</v>
    <v>181.94</v>
    <v>178.36</v>
    <v>178.95</v>
    <v>174.61</v>
    <v>170.99</v>
    <v>166.21</v>
    <v>169.58</v>
    <v>176.91</v>
    <v>188.15</v>
    <v>192.31</v>
    <v>192.47</v>
    <v>191.17</v>
    <v>192.47</v>
    <v>197.33</v>
    <v>203.64</v>
    <v>200.72</v>
    <v>200.09</v>
    <v>204.81</v>
    <v>207.77</v>
    <v>208.2</v>
    <v>221.58</v>
    <v>232.42</v>
    <v>232.12</v>
    <v>232.64</v>
    <v>228.61</v>
    <v>230.63</v>
    <v>231.68</v>
    <v>229.73</v>
    <v>230.53</v>
    <v>228.72</v>
    <v>235.65</v>
    <v>239.43</v>
    <v>241.97</v>
    <v>242.07</v>
    <v>248.71</v>
    <v>256.85000000000002</v>
    <v>261.08</v>
    <v>259.93</v>
    <v>246.93</v>
    <v>244.28</v>
    <v>244.63</v>
    <v>252.91</v>
    <v>256.07</v>
    <v>248.7</v>
    <v>252.1</v>
    <v>249.37</v>
    <v>251.26</v>
    <v>249.99</v>
    <v>253.77</v>
    <v>263.77</v>
    <v>264.64999999999998</v>
    <v>270.17</v>
    <v>269.35000000000002</v>
    <v>275.64999999999998</v>
    <v>264.74</v>
    <v>269.89999999999998</v>
    <v>275.18</v>
    <v>274.18</v>
    <v>271.8</v>
    <v>277.89999999999998</v>
    <v>275.39999999999998</v>
    <v>274.38</v>
    <v>275.60000000000002</v>
    <v>280.94</v>
    <v>280.81</v>
    <v>286.45</v>
    <v>283.33999999999997</v>
    <v>288.20999999999998</v>
    <v>278.58999999999997</v>
    <v>283.69</v>
    <v>288.70999999999998</v>
    <v>290.18</v>
    <v>294.3</v>
    <v>297.42</v>
    <v>302.62</v>
    <v>293.7</v>
    <v>288.64</v>
    <v>297.72000000000003</v>
    <v>292.93</v>
    <v>301.67</v>
    <v>303.76</v>
    <v>304.97000000000003</v>
    <v>303.89999999999998</v>
    <v>312.83</v>
    <v>309.08999999999997</v>
    <v>311.23</v>
    <v>306.33999999999997</v>
    <v>305.76</v>
    <v>294.91000000000003</v>
    <v>291.17</v>
    <v>289.60000000000002</v>
    <v>294</v>
    <v>294.23</v>
    <v>298.01</v>
    <v>300.25</v>
    <v>308.64999999999998</v>
    <v>297.39</v>
    <v>298.24</v>
    <v>302.39</v>
    <v>306.10000000000002</v>
    <v>334.89</v>
    <v>345.65</v>
    <v>336.67</v>
    <v>369.57</v>
    <v>359.63</v>
    <v>359.87</v>
    <v>364.09</v>
    <v>360</v>
    <v>346.17</v>
    <v>345.35</v>
    <v>344.94</v>
    <v>338.79</v>
    <v>338.94</v>
    <v>339.31</v>
    <v>336.1</v>
    <v>334.53</v>
    <v>327.9</v>
    <v>329.91</v>
    <v>333.39</v>
    <v>338.18</v>
    <v>338.37</v>
    <v>335.49</v>
    <v>336.41</v>
    <v>345.5</v>
    <v>345.02</v>
    <v>324.63</v>
    <v>356.7</v>
    <v>344.13</v>
    <v>351.33</v>
    <v>354.15</v>
    <v>349.33</v>
    <v>349.24</v>
    <v>342.66</v>
    <v>340.3</v>
    <v>344.29</v>
    <v>354.13</v>
    <v>362.05</v>
    <v>372.97</v>
    <v>385.98</v>
    <v>376.47</v>
    <v>369.63</v>
    <v>362.55</v>
    <v>351.94</v>
    <v>358.98</v>
    <v>355.59</v>
    <v>349.43</v>
    <v>358.39</v>
    <v>351.96</v>
    <v>355.22</v>
    <v>339.98</v>
    <v>342.46</v>
    <v>342.65</v>
    <v>340.5</v>
    <v>354.42</v>
    <v>346.82</v>
    <v>340.2</v>
    <v>377.96</v>
    <v>385.03</v>
    <v>397.57</v>
    <v>402.96</v>
    <v>386.08</v>
    <v>381.57</v>
    <v>380.61</v>
    <v>381.03</v>
    <v>390.24</v>
    <v>401.1</v>
    <v>406.29</v>
    <v>412.97</v>
    <v>406.37</v>
    <v>359.93</v>
    <v>339.81</v>
    <v>341.3</v>
    <v>326.02</v>
    <v>329.88</v>
    <v>340.36</v>
    <v>341.45</v>
    <v>349.32</v>
    <v>350.22</v>
    <v>352.13</v>
    <v>349.39</v>
    <v>349.85</v>
    <v>346.1</v>
    <v>347.62</v>
    <v>343.42</v>
    <v>343.77</v>
    <v>343.5</v>
    <v>332.48</v>
    <v>344.97</v>
    <v>352.21</v>
    <v>354.61</v>
    <v>339.89</v>
    <v>343.02</v>
    <v>351.71</v>
    <v>332.6</v>
    <v>328.8</v>
    <v>325.49</v>
    <v>320.05</v>
    <v>324.85000000000002</v>
    <v>332.79</v>
    <v>333.24</v>
    <v>330.73</v>
    <v>331.3</v>
    <v>331.11</v>
    <v>320.33</v>
    <v>308.05</v>
    <v>310.51</v>
    <v>332.92</v>
    <v>343.94</v>
    <v>340.44</v>
  </a>
  <a r="1" c="251">
    <v>187.07</v>
    <v>185.43</v>
    <v>187.88</v>
    <v>186.87</v>
    <v>185.8</v>
    <v>187.13</v>
    <v>186.64</v>
    <v>181.58</v>
    <v>181.19</v>
    <v>177.37</v>
    <v>174.7</v>
    <v>170.21</v>
    <v>172.22</v>
    <v>168.66</v>
    <v>172.61</v>
    <v>174.99</v>
    <v>174.21</v>
    <v>175.75</v>
    <v>167.81</v>
    <v>165.98</v>
    <v>169</v>
    <v>164.73</v>
    <v>167.62</v>
    <v>166.57</v>
    <v>162.66999999999999</v>
    <v>166.28</v>
    <v>165.05</v>
    <v>166.25</v>
    <v>169.93</v>
    <v>172.79</v>
    <v>167.14</v>
    <v>164.08</v>
    <v>156.06</v>
    <v>156.22999999999999</v>
    <v>158.88</v>
    <v>158.86000000000001</v>
    <v>152.63</v>
    <v>147.74</v>
    <v>149.24</v>
    <v>146.58000000000001</v>
    <v>161.06</v>
    <v>155.37</v>
    <v>159.4</v>
    <v>161.47</v>
    <v>158.68</v>
    <v>155.5</v>
    <v>153.36000000000001</v>
    <v>149.86000000000001</v>
    <v>153.9</v>
    <v>157.72</v>
    <v>161.47</v>
    <v>163.85</v>
    <v>162.41999999999999</v>
    <v>162.06</v>
    <v>160.88999999999999</v>
    <v>162.79</v>
    <v>165.81</v>
    <v>166.05</v>
    <v>165.2</v>
    <v>152.80000000000001</v>
    <v>155.75</v>
    <v>154.38</v>
    <v>159.58000000000001</v>
    <v>160.88999999999999</v>
    <v>166.81</v>
    <v>165.4</v>
    <v>167.43</v>
    <v>167.87</v>
    <v>165.32</v>
    <v>170.06</v>
    <v>171.98</v>
    <v>169.59</v>
    <v>173.98</v>
    <v>173.38</v>
    <v>172.96</v>
    <v>172.85</v>
    <v>170.37</v>
    <v>167.71</v>
    <v>169.39</v>
    <v>169.81</v>
    <v>174.92</v>
    <v>177.63</v>
    <v>180.01</v>
    <v>178.79</v>
    <v>176.97</v>
    <v>175.88</v>
    <v>177.94</v>
    <v>177.23</v>
    <v>173.98</v>
    <v>167.73</v>
    <v>166.01</v>
    <v>167.74</v>
    <v>171.49</v>
    <v>174.43</v>
    <v>178.27</v>
    <v>177.39</v>
    <v>176.91</v>
    <v>179.76</v>
    <v>180.55</v>
    <v>177.56</v>
    <v>175.16</v>
    <v>177.66</v>
    <v>178.7</v>
    <v>181.31</v>
    <v>182.81</v>
    <v>183.1</v>
    <v>183.77</v>
    <v>184.7</v>
    <v>185.94</v>
    <v>191.15</v>
    <v>192.11</v>
    <v>191.51</v>
    <v>193.2</v>
    <v>194.08</v>
    <v>193.42</v>
    <v>196.43</v>
    <v>197.44</v>
    <v>192.86</v>
    <v>189.95</v>
    <v>195.75</v>
    <v>195.32</v>
    <v>196.92</v>
    <v>197.28</v>
    <v>202.09</v>
    <v>201.63</v>
    <v>204.16</v>
    <v>203.03</v>
    <v>203.82</v>
    <v>204.91</v>
    <v>204.29</v>
    <v>202.49</v>
    <v>200.19</v>
    <v>200.62</v>
    <v>206.72</v>
    <v>209.16</v>
    <v>207.95</v>
    <v>208.21</v>
    <v>212.37</v>
    <v>213.53</v>
    <v>211.99</v>
    <v>231.1</v>
    <v>232.66</v>
    <v>235.17</v>
    <v>234.16</v>
    <v>239.94</v>
    <v>239.56</v>
    <v>240.78</v>
    <v>241.38</v>
    <v>251.76</v>
    <v>251.42</v>
    <v>249.85</v>
    <v>252.33</v>
    <v>255.24</v>
    <v>252.88</v>
    <v>252.34</v>
    <v>247.83</v>
    <v>246.57</v>
    <v>247.18</v>
    <v>244.36</v>
    <v>243.55</v>
    <v>245.54</v>
    <v>246.43</v>
    <v>246.45</v>
    <v>251.51</v>
    <v>247.13</v>
    <v>245.46</v>
    <v>242.21</v>
    <v>237.49</v>
    <v>244.64</v>
    <v>246.19</v>
    <v>251.71</v>
    <v>251.88</v>
    <v>253.79</v>
    <v>257.02</v>
    <v>251.34</v>
    <v>252.53</v>
    <v>253.73</v>
    <v>260.51</v>
    <v>269.93</v>
    <v>268.43</v>
    <v>275.17</v>
    <v>281.89999999999998</v>
    <v>281.82</v>
    <v>284.12</v>
    <v>278.06</v>
    <v>284.75</v>
    <v>285.33999999999997</v>
    <v>279.7</v>
    <v>290.58999999999997</v>
    <v>291.74</v>
    <v>287.43</v>
    <v>279.12</v>
    <v>276.98</v>
    <v>285.60000000000002</v>
    <v>284.95999999999998</v>
    <v>292.99</v>
    <v>289.98</v>
    <v>299.64999999999998</v>
    <v>318.47000000000003</v>
    <v>323.64</v>
    <v>320.27999999999997</v>
    <v>320.12</v>
    <v>315.12</v>
    <v>316.02</v>
    <v>320.62</v>
    <v>318.39</v>
    <v>322.08999999999997</v>
    <v>314.45</v>
    <v>317.75</v>
    <v>321</v>
    <v>313.7</v>
    <v>310.52</v>
    <v>309.32</v>
    <v>307.73</v>
    <v>298.06</v>
    <v>303.75</v>
    <v>308.61</v>
    <v>311.33</v>
    <v>315.68</v>
    <v>315.67</v>
    <v>314.95999999999998</v>
    <v>314.39</v>
    <v>314.55</v>
    <v>313.8</v>
    <v>315.32</v>
    <v>317.32</v>
    <v>314.55</v>
    <v>322.43</v>
    <v>326.01</v>
    <v>329.14</v>
    <v>332.73</v>
    <v>336.43</v>
    <v>336.31</v>
    <v>333.16</v>
    <v>330.34</v>
    <v>322.16000000000003</v>
    <v>328.38</v>
    <v>330.84</v>
    <v>328.43</v>
    <v>333.59</v>
    <v>335</v>
    <v>336.28</v>
    <v>338.66</v>
    <v>338.53</v>
    <v>344.9</v>
    <v>340.7</v>
    <v>333.34</v>
    <v>331.33</v>
    <v>323.10000000000002</v>
    <v>324.39999999999998</v>
    <v>318.63</v>
  </a>
  <a r="1" c="251">
    <v>232.76</v>
    <v>228.93</v>
    <v>230.37</v>
    <v>228.68</v>
    <v>226.65</v>
    <v>226.63</v>
    <v>222.88</v>
    <v>216.58</v>
    <v>212.71</v>
    <v>212.8</v>
    <v>214.35</v>
    <v>208.74</v>
    <v>212.28</v>
    <v>205.02</v>
    <v>203.8</v>
    <v>208.36</v>
    <v>200.7</v>
    <v>199.25</v>
    <v>194.54</v>
    <v>196.59</v>
    <v>198.89</v>
    <v>193.89</v>
    <v>197.95</v>
    <v>195.74</v>
    <v>192.82</v>
    <v>195.54</v>
    <v>194.95</v>
    <v>196.21</v>
    <v>203.26</v>
    <v>205.71</v>
    <v>201.13</v>
    <v>201.36</v>
    <v>192.72</v>
    <v>190.26</v>
    <v>192.17</v>
    <v>196.01</v>
    <v>178.41</v>
    <v>171</v>
    <v>175.26</v>
    <v>170.66</v>
    <v>191.1</v>
    <v>181.22</v>
    <v>184.87</v>
    <v>182.12</v>
    <v>179.59</v>
    <v>174.33</v>
    <v>172.61</v>
    <v>167.32</v>
    <v>173.18</v>
    <v>180.6</v>
    <v>186.54</v>
    <v>188.99</v>
    <v>187.7</v>
    <v>187.39</v>
    <v>184.42</v>
    <v>190.2</v>
    <v>189.98</v>
    <v>186.35</v>
    <v>185.01</v>
    <v>188.71</v>
    <v>192.08</v>
    <v>193.06</v>
    <v>208.64</v>
    <v>211.37</v>
    <v>210.25</v>
    <v>205.17</v>
    <v>205.59</v>
    <v>206.16</v>
    <v>204.07</v>
    <v>201.12</v>
    <v>203.1</v>
    <v>200.99</v>
    <v>206.02</v>
    <v>204.72</v>
    <v>205.7</v>
    <v>205.01</v>
    <v>206.65</v>
    <v>205.71</v>
    <v>207.23</v>
    <v>207.91</v>
    <v>213.57</v>
    <v>216.98</v>
    <v>217.61</v>
    <v>213.2</v>
    <v>213.24</v>
    <v>212.1</v>
    <v>216.1</v>
    <v>214.82</v>
    <v>212.52</v>
    <v>209.69</v>
    <v>208.47</v>
    <v>212.77</v>
    <v>211.99</v>
    <v>217.12</v>
    <v>223.3</v>
    <v>219.39</v>
    <v>220.46</v>
    <v>219.92</v>
    <v>223.41</v>
    <v>223.47</v>
    <v>219.36</v>
    <v>222.54</v>
    <v>222.26</v>
    <v>225.02</v>
    <v>225.69</v>
    <v>226.35</v>
    <v>223.19</v>
    <v>223.88</v>
    <v>226.13</v>
    <v>229.3</v>
    <v>227.47</v>
    <v>228.29</v>
    <v>232.23</v>
    <v>231.44</v>
    <v>232.79</v>
    <v>231.01</v>
    <v>230.19</v>
    <v>234.11</v>
    <v>214.75</v>
    <v>211.65</v>
    <v>213.75</v>
    <v>222.31</v>
    <v>223.13</v>
    <v>222.69</v>
    <v>221.3</v>
    <v>221.47</v>
    <v>224.56</v>
    <v>230.98</v>
    <v>231.03</v>
    <v>231.49</v>
    <v>228.01</v>
    <v>223.81</v>
    <v>221.95</v>
    <v>228.84</v>
    <v>227.94</v>
    <v>228.71</v>
    <v>229.12</v>
    <v>231.6</v>
    <v>229</v>
    <v>225.34</v>
    <v>225.99</v>
    <v>235.68</v>
    <v>232.33</v>
    <v>235.84</v>
    <v>238.24</v>
    <v>230.33</v>
    <v>229.95</v>
    <v>228.15</v>
    <v>231.43</v>
    <v>234.05</v>
    <v>231.62</v>
    <v>231.23</v>
    <v>231.48</v>
    <v>227.63</v>
    <v>220.71</v>
    <v>220.21</v>
    <v>218.15</v>
    <v>219.78</v>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a>
  <a r="1" c="251">
    <v>195.49</v>
    <v>196.73</v>
    <v>201.88</v>
    <v>200.03</v>
    <v>208.28</v>
    <v>205.19</v>
    <v>198.81</v>
    <v>191.03</v>
    <v>190.39</v>
    <v>188.01</v>
    <v>189.55</v>
    <v>187.5</v>
    <v>190.43</v>
    <v>183.68</v>
    <v>184.38</v>
    <v>184.28</v>
    <v>179.33</v>
    <v>180.93</v>
    <v>173.83</v>
    <v>178.93</v>
    <v>179.48</v>
    <v>176.32</v>
    <v>182.34</v>
    <v>185</v>
    <v>183.1</v>
    <v>187.54</v>
    <v>184.01</v>
    <v>182.32</v>
    <v>184.79</v>
    <v>189.95</v>
    <v>184.96</v>
    <v>174.44</v>
    <v>172.76</v>
    <v>170.64</v>
    <v>171.31</v>
    <v>173.18</v>
    <v>165.17</v>
    <v>153.57</v>
    <v>152.44</v>
    <v>152.53</v>
    <v>173.02</v>
    <v>168.27</v>
    <v>168.34</v>
    <v>169.98</v>
    <v>173.55</v>
    <v>169.76</v>
    <v>167.69</v>
    <v>160.05000000000001</v>
    <v>163.63</v>
    <v>168.32</v>
    <v>176.04</v>
    <v>178.98</v>
    <v>181.54</v>
    <v>186.65</v>
    <v>186.93</v>
    <v>186.27</v>
    <v>187.7</v>
    <v>188.13</v>
    <v>188.69</v>
    <v>188.14</v>
    <v>188.53</v>
    <v>186.93</v>
    <v>193.5</v>
    <v>192</v>
    <v>190.9</v>
    <v>192.9</v>
    <v>192.98</v>
    <v>194.3</v>
    <v>194.48</v>
    <v>181.26</v>
    <v>186.14</v>
    <v>186.75</v>
    <v>187.46</v>
    <v>187.8</v>
    <v>185.82</v>
    <v>192.42</v>
    <v>194.86</v>
    <v>197.12</v>
    <v>194.07</v>
    <v>197.11</v>
    <v>199.6</v>
    <v>196.33</v>
    <v>195.95</v>
    <v>194.39</v>
    <v>197.67</v>
    <v>196.27</v>
    <v>198.11</v>
    <v>202.05</v>
    <v>199.78</v>
    <v>199.24</v>
    <v>203.32</v>
    <v>201.69</v>
    <v>204.3</v>
    <v>202.34</v>
    <v>200.57</v>
    <v>204.64</v>
    <v>197.58</v>
    <v>196.97</v>
    <v>201.82</v>
    <v>201.42</v>
    <v>203.99</v>
    <v>206.06</v>
    <v>192.07</v>
    <v>187.39</v>
    <v>190.72</v>
    <v>192.25</v>
    <v>192.59</v>
    <v>196.28</v>
    <v>195.78</v>
    <v>199.88</v>
    <v>196.73</v>
    <v>199.22</v>
    <v>201.16</v>
    <v>203.27</v>
    <v>204.5</v>
    <v>193.84</v>
    <v>183.03</v>
    <v>173.6</v>
    <v>172.88</v>
    <v>171</v>
    <v>169.09</v>
    <v>172.89</v>
    <v>168.1</v>
    <v>167.06</v>
    <v>168.17</v>
    <v>175.4</v>
    <v>176.86</v>
    <v>173.55</v>
    <v>177.09</v>
    <v>176.17</v>
    <v>181.56</v>
    <v>184.43</v>
    <v>183.32</v>
    <v>185.88</v>
    <v>184.55</v>
    <v>184.23</v>
    <v>187.61</v>
    <v>191.02</v>
    <v>190.52</v>
    <v>190.52</v>
    <v>191.53</v>
    <v>192.35</v>
    <v>194.46</v>
    <v>197.38</v>
    <v>197.55</v>
    <v>197.33</v>
    <v>198.33</v>
    <v>196.29</v>
    <v>201.28</v>
    <v>201.34</v>
    <v>203.12</v>
    <v>205.68</v>
    <v>208.19</v>
    <v>208.18</v>
    <v>203.25</v>
    <v>200.7</v>
    <v>202.21</v>
    <v>202.37</v>
    <v>203.96</v>
    <v>203.62</v>
    <v>206.8</v>
    <v>209.3</v>
    <v>207.19</v>
    <v>212.58</v>
    <v>211.04</v>
    <v>217.79</v>
    <v>215.17</v>
    <v>208.55</v>
    <v>213.28</v>
    <v>207.56</v>
    <v>206.7</v>
    <v>205.51</v>
    <v>207.89</v>
    <v>211.82</v>
    <v>214.4</v>
    <v>212.42</v>
    <v>215.02</v>
    <v>217.11</v>
    <v>220.29</v>
    <v>221.38</v>
    <v>217.16</v>
    <v>218.27</v>
    <v>220.24</v>
    <v>219.23</v>
    <v>214.52</v>
    <v>213.18</v>
    <v>211.37</v>
    <v>212.285</v>
    <v>216.54</v>
    <v>218.27</v>
    <v>210.04</v>
    <v>204.77</v>
    <v>205.25</v>
    <v>202.9</v>
    <v>201</v>
    <v>199.9</v>
    <v>185.07</v>
    <v>182.9</v>
    <v>183.89</v>
    <v>186.27</v>
    <v>185.35</v>
    <v>190.13</v>
    <v>187.73</v>
    <v>189.88</v>
    <v>193.63</v>
    <v>195.68</v>
    <v>198.84</v>
    <v>195.35</v>
    <v>195</v>
    <v>192.96</v>
    <v>190.36</v>
    <v>191.69</v>
    <v>185.88</v>
    <v>187.09</v>
    <v>183.44</v>
    <v>185.88</v>
    <v>186.88</v>
    <v>189.49</v>
    <v>188.12</v>
    <v>187.22</v>
    <v>188.45</v>
    <v>186.85</v>
    <v>186.85</v>
    <v>184.2</v>
    <v>179.37</v>
    <v>182.12</v>
    <v>185.86</v>
    <v>193.9</v>
    <v>190.8</v>
    <v>189.02</v>
    <v>188.88</v>
    <v>190.85</v>
    <v>190.93</v>
    <v>187.73</v>
    <v>187.66</v>
    <v>184.06</v>
    <v>181.47</v>
    <v>182.27</v>
    <v>180.18</v>
    <v>184.22</v>
    <v>183.5</v>
    <v>183.74</v>
    <v>176.2</v>
    <v>176.97</v>
    <v>175.42</v>
    <v>166.24</v>
    <v>166.72</v>
    <v>154.77000000000001</v>
    <v>159.32</v>
    <v>166</v>
    <v>165.51</v>
  </a>
  <a r="1" c="251">
    <v>132.80000000000001</v>
    <v>131.13999999999999</v>
    <v>135.29</v>
    <v>138.85</v>
    <v>139.4</v>
    <v>139.22999999999999</v>
    <v>140.11000000000001</v>
    <v>134.43</v>
    <v>130.28</v>
    <v>126.63</v>
    <v>131.28</v>
    <v>120.15</v>
    <v>124.92</v>
    <v>114.06</v>
    <v>115.99</v>
    <v>117.3</v>
    <v>110.57</v>
    <v>112.69</v>
    <v>106.98</v>
    <v>108.76</v>
    <v>115.74</v>
    <v>115.58</v>
    <v>121.67</v>
    <v>119.53</v>
    <v>115.43</v>
    <v>117.52</v>
    <v>118.53</v>
    <v>117.7</v>
    <v>121.41</v>
    <v>120.69</v>
    <v>113.76</v>
    <v>111.43</v>
    <v>109.67</v>
    <v>108.38</v>
    <v>110.15</v>
    <v>110.42</v>
    <v>101.8</v>
    <v>94.31</v>
    <v>97.64</v>
    <v>96.3</v>
    <v>114.33</v>
    <v>107.57</v>
    <v>110.93</v>
    <v>110.71</v>
    <v>112.2</v>
    <v>104.49</v>
    <v>101.49</v>
    <v>96.91</v>
    <v>98.89</v>
    <v>102.71</v>
    <v>106.43</v>
    <v>111.01</v>
    <v>108.73</v>
    <v>109.02</v>
    <v>108.92</v>
    <v>111.61</v>
    <v>114.5</v>
    <v>113.82</v>
    <v>113.54</v>
    <v>117.06</v>
    <v>117.37</v>
    <v>116.65</v>
    <v>123</v>
    <v>129.93</v>
    <v>135.34</v>
    <v>134.83000000000001</v>
    <v>135.4</v>
    <v>135.57</v>
    <v>134.38</v>
    <v>131.80000000000001</v>
    <v>132.83000000000001</v>
    <v>131.29</v>
    <v>135.5</v>
    <v>134.81</v>
    <v>139.19</v>
    <v>135.13</v>
    <v>137.38</v>
    <v>141.22</v>
    <v>141.91999999999999</v>
    <v>139.99</v>
    <v>141.72</v>
    <v>142.63</v>
    <v>143.96</v>
    <v>142.83000000000001</v>
    <v>145</v>
    <v>141.97</v>
    <v>144.69</v>
    <v>144.12</v>
    <v>145.47999999999999</v>
    <v>143.85</v>
    <v>144.16999999999999</v>
    <v>147.9</v>
    <v>154.31</v>
    <v>155.02000000000001</v>
    <v>157.75</v>
    <v>157.99</v>
    <v>153.30000000000001</v>
    <v>157.25</v>
    <v>159.34</v>
    <v>158.24</v>
    <v>160</v>
    <v>162.88</v>
    <v>164.1</v>
    <v>164.92</v>
    <v>164.07</v>
    <v>170.7</v>
    <v>171.37</v>
    <v>173</v>
    <v>172.41</v>
    <v>171.38</v>
    <v>167.03</v>
    <v>170.78</v>
    <v>173.74</v>
    <v>173.5</v>
    <v>176.75</v>
    <v>175.51</v>
    <v>179.27</v>
    <v>177.87</v>
    <v>173.72</v>
    <v>180</v>
    <v>178.26</v>
    <v>179.42</v>
    <v>180.77</v>
    <v>182.7</v>
    <v>182.06</v>
    <v>183.16</v>
    <v>181.59</v>
    <v>182.02</v>
    <v>180.45</v>
    <v>182.01</v>
    <v>175.64</v>
    <v>175.4</v>
    <v>174.98</v>
    <v>177.99</v>
    <v>179.81</v>
    <v>181.77</v>
    <v>181.6</v>
    <v>180.17</v>
    <v>174.18</v>
    <v>170.78</v>
    <v>170.62</v>
    <v>171.66</v>
    <v>167.02</v>
    <v>168.31</v>
    <v>170.76</v>
    <v>177.33</v>
    <v>177.17</v>
    <v>177.82</v>
    <v>177.75</v>
    <v>174.88</v>
    <v>170.29</v>
    <v>176.24</v>
    <v>176.67</v>
    <v>183.61</v>
    <v>178.43</v>
    <v>176.97</v>
    <v>177.69</v>
    <v>178.19</v>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a>
  <a r="1" c="253">
    <v t="i">0</v>
    <v t="i">1</v>
    <v t="i">2</v>
    <v t="i">3</v>
    <v t="i">6</v>
    <v t="i">7</v>
    <v t="i">8</v>
    <v t="i">9</v>
    <v t="i">10</v>
    <v t="i">13</v>
    <v t="i">14</v>
    <v t="i">15</v>
    <v t="i">16</v>
    <v t="i">17</v>
    <v t="i">20</v>
    <v t="i">21</v>
    <v t="i">22</v>
    <v t="i">23</v>
    <v t="i">24</v>
    <v t="i">27</v>
    <v t="i">28</v>
    <v t="i">29</v>
    <v t="i">30</v>
    <v t="i">31</v>
    <v t="i">34</v>
    <v t="i">35</v>
    <v t="i">36</v>
    <v t="i">37</v>
    <v t="i">38</v>
    <v t="i">41</v>
    <v t="i">42</v>
    <v t="i">43</v>
    <v t="i">44</v>
    <v t="i">45</v>
    <v t="i">48</v>
    <v t="i">49</v>
    <v t="i">50</v>
    <v t="i">51</v>
    <v t="i">52</v>
    <v t="i">55</v>
    <v t="i">56</v>
    <v t="i">57</v>
    <v t="i">58</v>
    <v t="i">59</v>
    <v t="i">62</v>
    <v t="i">63</v>
    <v t="i">64</v>
    <v t="i">65</v>
    <v t="i">70</v>
    <v t="i">71</v>
    <v t="i">72</v>
    <v t="i">73</v>
    <v t="i">76</v>
    <v t="i">77</v>
    <v t="i">78</v>
    <v t="i">80</v>
    <v t="i">83</v>
    <v t="i">84</v>
    <v t="i">85</v>
    <v t="i">86</v>
    <v t="i">87</v>
    <v t="i">90</v>
    <v t="i">91</v>
    <v t="i">92</v>
    <v t="i">93</v>
    <v t="i">94</v>
    <v t="i">97</v>
    <v t="i">98</v>
    <v t="i">99</v>
    <v t="i">100</v>
    <v t="i">101</v>
    <v t="i">104</v>
    <v t="i">105</v>
    <v t="i">106</v>
    <v t="i">107</v>
    <v t="i">108</v>
    <v t="i">111</v>
    <v t="i">112</v>
    <v t="i">113</v>
    <v t="i">114</v>
    <v t="i">115</v>
    <v t="i">118</v>
    <v t="i">119</v>
    <v t="i">120</v>
    <v t="i">121</v>
    <v t="i">122</v>
    <v t="i">125</v>
    <v t="i">126</v>
    <v t="i">127</v>
    <v t="i">128</v>
    <v t="i">129</v>
    <v t="i">132</v>
    <v t="i">133</v>
    <v t="i">134</v>
    <v t="i">135</v>
    <v t="i">136</v>
    <v t="i">139</v>
    <v t="i">140</v>
    <v t="i">141</v>
    <v t="i">142</v>
    <v t="i">143</v>
    <v t="i">146</v>
    <v t="i">147</v>
    <v t="i">148</v>
    <v t="i">149</v>
    <v t="i">150</v>
    <v t="i">153</v>
    <v t="i">154</v>
    <v t="i">155</v>
    <v t="i">156</v>
    <v t="i">157</v>
    <v t="i">160</v>
    <v t="i">161</v>
    <v t="i">162</v>
    <v t="i">163</v>
    <v t="i">164</v>
    <v t="i">167</v>
    <v t="i">168</v>
    <v t="i">169</v>
    <v t="i">170</v>
    <v t="i">171</v>
    <v t="i">174</v>
    <v t="i">175</v>
    <v t="i">176</v>
    <v t="i">177</v>
    <v t="i">178</v>
    <v t="i">181</v>
    <v t="i">182</v>
    <v t="i">183</v>
    <v t="i">184</v>
    <v t="i">185</v>
    <v t="i">188</v>
    <v t="i">189</v>
    <v t="i">190</v>
    <v t="i">191</v>
    <v t="i">192</v>
    <v t="i">195</v>
    <v t="i">196</v>
    <v t="i">197</v>
    <v t="i">198</v>
    <v t="i">199</v>
    <v t="i">202</v>
    <v t="i">203</v>
    <v t="i">204</v>
    <v t="i">205</v>
    <v t="i">206</v>
    <v t="i">209</v>
    <v t="i">210</v>
    <v t="i">211</v>
    <v t="i">212</v>
    <v t="i">213</v>
    <v t="i">216</v>
    <v t="i">217</v>
    <v t="i">218</v>
    <v t="i">219</v>
    <v t="i">220</v>
    <v t="i">223</v>
    <v t="i">224</v>
    <v t="i">225</v>
    <v t="i">226</v>
    <v t="i">227</v>
    <v t="i">230</v>
    <v t="i">231</v>
    <v t="i">232</v>
    <v t="i">233</v>
    <v t="i">234</v>
    <v t="i">237</v>
    <v t="i">238</v>
    <v t="i">239</v>
    <v t="i">240</v>
    <v t="i">241</v>
    <v t="i">244</v>
    <v t="i">245</v>
    <v t="i">246</v>
    <v t="i">247</v>
    <v t="i">248</v>
    <v t="i">251</v>
    <v t="i">252</v>
    <v t="i">253</v>
    <v t="i">254</v>
    <v t="i">255</v>
    <v t="i">258</v>
    <v t="i">259</v>
    <v t="i">260</v>
    <v t="i">261</v>
    <v t="i">262</v>
    <v t="i">265</v>
    <v t="i">266</v>
    <v t="i">267</v>
    <v t="i">268</v>
    <v t="i">269</v>
    <v t="i">272</v>
    <v t="i">273</v>
    <v t="i">274</v>
    <v t="i">275</v>
    <v t="i">276</v>
    <v t="i">279</v>
    <v t="i">280</v>
    <v t="i">281</v>
    <v t="i">282</v>
    <v t="i">283</v>
    <v t="i">286</v>
    <v t="i">287</v>
    <v t="i">288</v>
    <v t="i">289</v>
    <v t="i">290</v>
    <v t="i">293</v>
    <v t="i">294</v>
    <v t="i">295</v>
    <v t="i">296</v>
    <v t="i">297</v>
    <v t="i">300</v>
    <v t="i">301</v>
    <v t="i">302</v>
    <v t="i">303</v>
    <v t="i">304</v>
    <v t="i">307</v>
    <v t="i">308</v>
    <v t="i">309</v>
    <v t="i">310</v>
    <v t="i">311</v>
    <v t="i">314</v>
    <v t="i">315</v>
    <v t="i">321</v>
    <v t="i">322</v>
    <v t="i">325</v>
    <v t="i">328</v>
    <v t="i">329</v>
    <v t="i">330</v>
    <v t="i">331</v>
    <v t="i">332</v>
    <v t="i">335</v>
    <v t="i">336</v>
    <v t="i">337</v>
    <v t="i">338</v>
    <v t="i">339</v>
    <v t="i">342</v>
    <v t="i">343</v>
    <v t="i">344</v>
    <v t="i">345</v>
    <v t="i">346</v>
    <v t="i">349</v>
    <v t="i">350</v>
    <v t="i">351</v>
    <v t="i">352</v>
    <v t="i">353</v>
    <v t="i">356</v>
    <v t="i">357</v>
    <v t="i">358</v>
    <v t="i">359</v>
    <v t="i">360</v>
    <v t="i">363</v>
    <v t="i">364</v>
  </a>
  <a r="1" c="253">
    <v>622.5</v>
    <v>618.52</v>
    <v>620.08000000000004</v>
    <v>617.91999999999996</v>
    <v>621.08000000000004</v>
    <v>621.84</v>
    <v>626.14</v>
    <v>617.54</v>
    <v>613.28</v>
    <v>610.41999999999996</v>
    <v>602.36</v>
    <v>602.28</v>
    <v>600</v>
    <v>600.02</v>
    <v>591.82000000000005</v>
    <v>583.41999999999996</v>
    <v>575.96</v>
    <v>564.58000000000004</v>
    <v>565.24</v>
    <v>551.34</v>
    <v>544.20000000000005</v>
    <v>545.72</v>
    <v>540.58000000000004</v>
    <v>550.02</v>
    <v>552.62</v>
    <v>546.08000000000004</v>
    <v>553.94000000000005</v>
    <v>553.88</v>
    <v>554.94000000000005</v>
    <v>566.17999999999995</v>
    <v>569.62</v>
    <v>564.34</v>
    <v>562.1</v>
    <v>548</v>
    <v>549.91999999999996</v>
    <v>552.96</v>
    <v>552.55999999999995</v>
    <v>521.46</v>
    <v>498.32</v>
    <v>495.52</v>
    <v>483.06</v>
    <v>532.32000000000005</v>
    <v>500.3</v>
    <v>502.84</v>
    <v>507.88</v>
    <v>509.84</v>
    <v>497.58</v>
    <v>498.87</v>
    <v>487.83</v>
    <v>503.66</v>
    <v>511.94</v>
    <v>516.82000000000005</v>
    <v>515.88</v>
    <v>517.55999999999995</v>
    <v>518.05999999999995</v>
    <v>534.26</v>
    <v>534.46</v>
    <v>524.34</v>
    <v>527.79999999999995</v>
    <v>541.24</v>
    <v>534.58000000000004</v>
    <v>560.29999999999995</v>
    <v>561.55999999999995</v>
    <v>560.76</v>
    <v>563.94000000000005</v>
    <v>568.08000000000004</v>
    <v>565.54</v>
    <v>562.22</v>
    <v>548.66</v>
    <v>554</v>
    <v>544.98</v>
    <v>549.94000000000005</v>
    <v>555.54</v>
    <v>557.46</v>
    <v>553.54</v>
    <v>550.38</v>
    <v>552.29999999999995</v>
    <v>559.72</v>
    <v>557.52</v>
    <v>556.17999999999995</v>
    <v>560.64</v>
    <v>561.05999999999995</v>
    <v>562.58000000000004</v>
    <v>559.34</v>
    <v>556.22</v>
    <v>554.05999999999995</v>
    <v>555.94000000000005</v>
    <v>555.96</v>
    <v>555.48</v>
    <v>551.76</v>
    <v>551.64</v>
    <v>554.41999999999996</v>
    <v>559.91999999999996</v>
    <v>558.12</v>
    <v>557.84</v>
    <v>562.17999999999995</v>
    <v>560.24</v>
    <v>561.67999999999995</v>
    <v>562.02</v>
    <v>568.79999999999995</v>
    <v>564.79999999999995</v>
    <v>566.86</v>
    <v>566.62</v>
    <v>569.17999999999995</v>
    <v>573.48</v>
    <v>571.6</v>
    <v>572.96</v>
    <v>575</v>
    <v>572.28</v>
    <v>579.14</v>
    <v>577.54</v>
    <v>578.05999999999995</v>
    <v>573</v>
    <v>575.79999999999995</v>
    <v>577.88</v>
    <v>581.14</v>
    <v>587.34</v>
    <v>589.12</v>
    <v>593.08000000000004</v>
    <v>594.58000000000004</v>
    <v>576.64</v>
    <v>583.22</v>
    <v>581.34</v>
    <v>580.96</v>
    <v>579.66</v>
    <v>585.08000000000004</v>
    <v>585.29999999999995</v>
    <v>588.98</v>
    <v>588.86</v>
    <v>593.08000000000004</v>
    <v>589.08000000000004</v>
    <v>589.58000000000004</v>
    <v>587.6</v>
    <v>585.96</v>
    <v>584.32000000000005</v>
    <v>588.74</v>
    <v>593.05999999999995</v>
    <v>591.28</v>
    <v>594.38</v>
    <v>594.52</v>
    <v>588.9</v>
    <v>590.36</v>
    <v>586.34</v>
    <v>588.5</v>
    <v>594.74</v>
    <v>588.9</v>
    <v>589.84</v>
    <v>592.86</v>
    <v>596.16</v>
    <v>599.34</v>
    <v>599.94000000000005</v>
    <v>599.86</v>
    <v>594.84</v>
    <v>594.54</v>
    <v>601.44000000000005</v>
    <v>604.9</v>
    <v>606.38</v>
    <v>602.78</v>
    <v>604.38</v>
    <v>604.67999999999995</v>
    <v>606.48</v>
    <v>606.6</v>
    <v>604.04</v>
    <v>611.02</v>
    <v>611.98</v>
    <v>611.86</v>
    <v>615.70000000000005</v>
    <v>615.66</v>
    <v>621.94000000000005</v>
    <v>621.94000000000005</v>
    <v>605</v>
    <v>614.62</v>
    <v>614.58000000000004</v>
    <v>609.74</v>
    <v>605.70000000000005</v>
    <v>608.16</v>
    <v>619.02</v>
    <v>621.5</v>
    <v>617.26</v>
    <v>620.6</v>
    <v>625.74</v>
    <v>630.48</v>
    <v>632.67999999999995</v>
    <v>634.22</v>
    <v>633.05999999999995</v>
    <v>634.88</v>
    <v>636.1</v>
    <v>631.82000000000005</v>
    <v>635.22</v>
    <v>625.28</v>
    <v>621.16</v>
    <v>631.1</v>
    <v>631.67999999999995</v>
    <v>632.78</v>
    <v>619.74</v>
    <v>620.54</v>
    <v>614.4</v>
    <v>612.58000000000004</v>
    <v>614.88</v>
    <v>613.28</v>
    <v>616.28</v>
    <v>622.64</v>
    <v>623.94000000000005</v>
    <v>629.79999999999995</v>
    <v>629.04</v>
    <v>631.08000000000004</v>
    <v>629.52</v>
    <v>628.72</v>
    <v>628.94000000000005</v>
    <v>629.78</v>
    <v>632.34</v>
    <v>628.24</v>
    <v>630.70000000000005</v>
    <v>631.79999999999995</v>
    <v>627.78</v>
    <v>622.36</v>
    <v>621.26</v>
    <v>618.14</v>
    <v>614.5</v>
    <v>618.98</v>
    <v>624.02</v>
    <v>626.6</v>
    <v>628.02</v>
    <v>629</v>
    <v>629.08000000000004</v>
    <v>629.24</v>
    <v>631.5</v>
    <v>636.76</v>
    <v>636.82000000000005</v>
    <v>636.6</v>
    <v>641.48</v>
    <v>640.38</v>
    <v>639.58000000000004</v>
    <v>634.17999999999995</v>
    <v>642.20000000000005</v>
    <v>642.64</v>
    <v>632.88</v>
    <v>622.58000000000004</v>
    <v>632.28</v>
    <v>632.41999999999996</v>
    <v>628.28</v>
    <v>627.9</v>
    <v>624.55999999999995</v>
    <v>626.6</v>
    <v>622.58000000000004</v>
    <v>625.08000000000004</v>
    <v>634.66</v>
    <v>624.58000000000004</v>
    <v>626.9</v>
    <v>618.12</v>
    <v>627.04</v>
    <v>627.70000000000005</v>
    <v>626.94000000000005</v>
  </a>
</arrayData>
</file>

<file path=xl/richData/rdrichvalue.xml><?xml version="1.0" encoding="utf-8"?>
<rvData xmlns="http://schemas.microsoft.com/office/spreadsheetml/2017/richdata" count="1986">
  <rv s="0">
    <v>0</v>
    <v>1</v>
    <v>EUR/USD</v>
    <v>3</v>
    <v>4</v>
    <v>Finance</v>
    <v>5</v>
    <v>fr-FR</v>
    <v>av932w</v>
    <v>268435456</v>
    <v>1</v>
    <v>Avec Refinitiv</v>
    <v>1.1887000000000001</v>
    <v>1.0279</v>
    <v>1.1894</v>
    <v>EURUSD</v>
    <v>EUR</v>
    <v>46064.206747685188</v>
    <v>USD</v>
    <v>1.1914</v>
    <v>1.2078</v>
    <v>1.1770000000000001E-3</v>
    <v>1.4E-3</v>
    <v>Euro/US Dollar FX Spot Rate</v>
    <v>1.1893</v>
    <v>1.1908000000000001</v>
    <v>Paire de devises</v>
    <v>EUR/USD</v>
  </rv>
  <rv s="1">
    <v>0</v>
  </rv>
  <rv s="2">
    <fb>45699</fb>
    <v>6</v>
  </rv>
  <rv s="2">
    <fb>45700</fb>
    <v>6</v>
  </rv>
  <rv s="2">
    <fb>45701</fb>
    <v>6</v>
  </rv>
  <rv s="2">
    <fb>45702</fb>
    <v>6</v>
  </rv>
  <rv s="2">
    <fb>45706</fb>
    <v>6</v>
  </rv>
  <rv s="2">
    <fb>45707</fb>
    <v>6</v>
  </rv>
  <rv s="2">
    <fb>45708</fb>
    <v>6</v>
  </rv>
  <rv s="2">
    <fb>45709</fb>
    <v>6</v>
  </rv>
  <rv s="2">
    <fb>45712</fb>
    <v>6</v>
  </rv>
  <rv s="2">
    <fb>45713</fb>
    <v>6</v>
  </rv>
  <rv s="2">
    <fb>45714</fb>
    <v>6</v>
  </rv>
  <rv s="2">
    <fb>45715</fb>
    <v>6</v>
  </rv>
  <rv s="2">
    <fb>45716</fb>
    <v>6</v>
  </rv>
  <rv s="2">
    <fb>45719</fb>
    <v>6</v>
  </rv>
  <rv s="2">
    <fb>45720</fb>
    <v>6</v>
  </rv>
  <rv s="2">
    <fb>45721</fb>
    <v>6</v>
  </rv>
  <rv s="2">
    <fb>45722</fb>
    <v>6</v>
  </rv>
  <rv s="2">
    <fb>45723</fb>
    <v>6</v>
  </rv>
  <rv s="2">
    <fb>45726</fb>
    <v>6</v>
  </rv>
  <rv s="2">
    <fb>45727</fb>
    <v>6</v>
  </rv>
  <rv s="2">
    <fb>45728</fb>
    <v>6</v>
  </rv>
  <rv s="2">
    <fb>45729</fb>
    <v>6</v>
  </rv>
  <rv s="2">
    <fb>45730</fb>
    <v>6</v>
  </rv>
  <rv s="2">
    <fb>45733</fb>
    <v>6</v>
  </rv>
  <rv s="2">
    <fb>45734</fb>
    <v>6</v>
  </rv>
  <rv s="2">
    <fb>45735</fb>
    <v>6</v>
  </rv>
  <rv s="2">
    <fb>45736</fb>
    <v>6</v>
  </rv>
  <rv s="2">
    <fb>45737</fb>
    <v>6</v>
  </rv>
  <rv s="2">
    <fb>45740</fb>
    <v>6</v>
  </rv>
  <rv s="2">
    <fb>45741</fb>
    <v>6</v>
  </rv>
  <rv s="2">
    <fb>45742</fb>
    <v>6</v>
  </rv>
  <rv s="2">
    <fb>45743</fb>
    <v>6</v>
  </rv>
  <rv s="2">
    <fb>45744</fb>
    <v>6</v>
  </rv>
  <rv s="2">
    <fb>45747</fb>
    <v>6</v>
  </rv>
  <rv s="2">
    <fb>45748</fb>
    <v>6</v>
  </rv>
  <rv s="2">
    <fb>45749</fb>
    <v>6</v>
  </rv>
  <rv s="2">
    <fb>45750</fb>
    <v>6</v>
  </rv>
  <rv s="2">
    <fb>45751</fb>
    <v>6</v>
  </rv>
  <rv s="2">
    <fb>45754</fb>
    <v>6</v>
  </rv>
  <rv s="2">
    <fb>45755</fb>
    <v>6</v>
  </rv>
  <rv s="2">
    <fb>45756</fb>
    <v>6</v>
  </rv>
  <rv s="2">
    <fb>45757</fb>
    <v>6</v>
  </rv>
  <rv s="2">
    <fb>45758</fb>
    <v>6</v>
  </rv>
  <rv s="2">
    <fb>45761</fb>
    <v>6</v>
  </rv>
  <rv s="2">
    <fb>45762</fb>
    <v>6</v>
  </rv>
  <rv s="2">
    <fb>45763</fb>
    <v>6</v>
  </rv>
  <rv s="2">
    <fb>45764</fb>
    <v>6</v>
  </rv>
  <rv s="2">
    <fb>45768</fb>
    <v>6</v>
  </rv>
  <rv s="2">
    <fb>45769</fb>
    <v>6</v>
  </rv>
  <rv s="2">
    <fb>45770</fb>
    <v>6</v>
  </rv>
  <rv s="2">
    <fb>45771</fb>
    <v>6</v>
  </rv>
  <rv s="2">
    <fb>45772</fb>
    <v>6</v>
  </rv>
  <rv s="2">
    <fb>45775</fb>
    <v>6</v>
  </rv>
  <rv s="2">
    <fb>45776</fb>
    <v>6</v>
  </rv>
  <rv s="2">
    <fb>45777</fb>
    <v>6</v>
  </rv>
  <rv s="2">
    <fb>45778</fb>
    <v>6</v>
  </rv>
  <rv s="2">
    <fb>45779</fb>
    <v>6</v>
  </rv>
  <rv s="2">
    <fb>45782</fb>
    <v>6</v>
  </rv>
  <rv s="2">
    <fb>45783</fb>
    <v>6</v>
  </rv>
  <rv s="2">
    <fb>45784</fb>
    <v>6</v>
  </rv>
  <rv s="2">
    <fb>45785</fb>
    <v>6</v>
  </rv>
  <rv s="2">
    <fb>45786</fb>
    <v>6</v>
  </rv>
  <rv s="2">
    <fb>45789</fb>
    <v>6</v>
  </rv>
  <rv s="2">
    <fb>45790</fb>
    <v>6</v>
  </rv>
  <rv s="2">
    <fb>45791</fb>
    <v>6</v>
  </rv>
  <rv s="2">
    <fb>45792</fb>
    <v>6</v>
  </rv>
  <rv s="2">
    <fb>45793</fb>
    <v>6</v>
  </rv>
  <rv s="2">
    <fb>45796</fb>
    <v>6</v>
  </rv>
  <rv s="2">
    <fb>45797</fb>
    <v>6</v>
  </rv>
  <rv s="2">
    <fb>45798</fb>
    <v>6</v>
  </rv>
  <rv s="2">
    <fb>45799</fb>
    <v>6</v>
  </rv>
  <rv s="2">
    <fb>45800</fb>
    <v>6</v>
  </rv>
  <rv s="2">
    <fb>45804</fb>
    <v>6</v>
  </rv>
  <rv s="2">
    <fb>45805</fb>
    <v>6</v>
  </rv>
  <rv s="2">
    <fb>45806</fb>
    <v>6</v>
  </rv>
  <rv s="2">
    <fb>45807</fb>
    <v>6</v>
  </rv>
  <rv s="2">
    <fb>45810</fb>
    <v>6</v>
  </rv>
  <rv s="2">
    <fb>45811</fb>
    <v>6</v>
  </rv>
  <rv s="2">
    <fb>45812</fb>
    <v>6</v>
  </rv>
  <rv s="2">
    <fb>45813</fb>
    <v>6</v>
  </rv>
  <rv s="2">
    <fb>45814</fb>
    <v>6</v>
  </rv>
  <rv s="2">
    <fb>45817</fb>
    <v>6</v>
  </rv>
  <rv s="2">
    <fb>45818</fb>
    <v>6</v>
  </rv>
  <rv s="2">
    <fb>45819</fb>
    <v>6</v>
  </rv>
  <rv s="2">
    <fb>45820</fb>
    <v>6</v>
  </rv>
  <rv s="2">
    <fb>45821</fb>
    <v>6</v>
  </rv>
  <rv s="2">
    <fb>45824</fb>
    <v>6</v>
  </rv>
  <rv s="2">
    <fb>45825</fb>
    <v>6</v>
  </rv>
  <rv s="2">
    <fb>45826</fb>
    <v>6</v>
  </rv>
  <rv s="2">
    <fb>45828</fb>
    <v>6</v>
  </rv>
  <rv s="2">
    <fb>45831</fb>
    <v>6</v>
  </rv>
  <rv s="2">
    <fb>45832</fb>
    <v>6</v>
  </rv>
  <rv s="2">
    <fb>45833</fb>
    <v>6</v>
  </rv>
  <rv s="2">
    <fb>45834</fb>
    <v>6</v>
  </rv>
  <rv s="2">
    <fb>45835</fb>
    <v>6</v>
  </rv>
  <rv s="2">
    <fb>45838</fb>
    <v>6</v>
  </rv>
  <rv s="2">
    <fb>45839</fb>
    <v>6</v>
  </rv>
  <rv s="2">
    <fb>45840</fb>
    <v>6</v>
  </rv>
  <rv s="2">
    <fb>45841</fb>
    <v>6</v>
  </rv>
  <rv s="2">
    <fb>45845</fb>
    <v>6</v>
  </rv>
  <rv s="2">
    <fb>45846</fb>
    <v>6</v>
  </rv>
  <rv s="2">
    <fb>45847</fb>
    <v>6</v>
  </rv>
  <rv s="2">
    <fb>45848</fb>
    <v>6</v>
  </rv>
  <rv s="2">
    <fb>45849</fb>
    <v>6</v>
  </rv>
  <rv s="2">
    <fb>45852</fb>
    <v>6</v>
  </rv>
  <rv s="2">
    <fb>45853</fb>
    <v>6</v>
  </rv>
  <rv s="2">
    <fb>45854</fb>
    <v>6</v>
  </rv>
  <rv s="2">
    <fb>45855</fb>
    <v>6</v>
  </rv>
  <rv s="2">
    <fb>45856</fb>
    <v>6</v>
  </rv>
  <rv s="2">
    <fb>45859</fb>
    <v>6</v>
  </rv>
  <rv s="2">
    <fb>45860</fb>
    <v>6</v>
  </rv>
  <rv s="2">
    <fb>45861</fb>
    <v>6</v>
  </rv>
  <rv s="2">
    <fb>45862</fb>
    <v>6</v>
  </rv>
  <rv s="2">
    <fb>45863</fb>
    <v>6</v>
  </rv>
  <rv s="2">
    <fb>45866</fb>
    <v>6</v>
  </rv>
  <rv s="2">
    <fb>45867</fb>
    <v>6</v>
  </rv>
  <rv s="2">
    <fb>45868</fb>
    <v>6</v>
  </rv>
  <rv s="2">
    <fb>45869</fb>
    <v>6</v>
  </rv>
  <rv s="2">
    <fb>45870</fb>
    <v>6</v>
  </rv>
  <rv s="2">
    <fb>45873</fb>
    <v>6</v>
  </rv>
  <rv s="2">
    <fb>45874</fb>
    <v>6</v>
  </rv>
  <rv s="2">
    <fb>45875</fb>
    <v>6</v>
  </rv>
  <rv s="2">
    <fb>45876</fb>
    <v>6</v>
  </rv>
  <rv s="2">
    <fb>45877</fb>
    <v>6</v>
  </rv>
  <rv s="2">
    <fb>45880</fb>
    <v>6</v>
  </rv>
  <rv s="2">
    <fb>45881</fb>
    <v>6</v>
  </rv>
  <rv s="2">
    <fb>45882</fb>
    <v>6</v>
  </rv>
  <rv s="2">
    <fb>45883</fb>
    <v>6</v>
  </rv>
  <rv s="2">
    <fb>45884</fb>
    <v>6</v>
  </rv>
  <rv s="2">
    <fb>45887</fb>
    <v>6</v>
  </rv>
  <rv s="2">
    <fb>45888</fb>
    <v>6</v>
  </rv>
  <rv s="2">
    <fb>45889</fb>
    <v>6</v>
  </rv>
  <rv s="2">
    <fb>45890</fb>
    <v>6</v>
  </rv>
  <rv s="2">
    <fb>45891</fb>
    <v>6</v>
  </rv>
  <rv s="2">
    <fb>45894</fb>
    <v>6</v>
  </rv>
  <rv s="2">
    <fb>45895</fb>
    <v>6</v>
  </rv>
  <rv s="2">
    <fb>45896</fb>
    <v>6</v>
  </rv>
  <rv s="2">
    <fb>45897</fb>
    <v>6</v>
  </rv>
  <rv s="2">
    <fb>45898</fb>
    <v>6</v>
  </rv>
  <rv s="2">
    <fb>45902</fb>
    <v>6</v>
  </rv>
  <rv s="2">
    <fb>45903</fb>
    <v>6</v>
  </rv>
  <rv s="2">
    <fb>45904</fb>
    <v>6</v>
  </rv>
  <rv s="2">
    <fb>45905</fb>
    <v>6</v>
  </rv>
  <rv s="2">
    <fb>45908</fb>
    <v>6</v>
  </rv>
  <rv s="2">
    <fb>45909</fb>
    <v>6</v>
  </rv>
  <rv s="2">
    <fb>45910</fb>
    <v>6</v>
  </rv>
  <rv s="2">
    <fb>45911</fb>
    <v>6</v>
  </rv>
  <rv s="2">
    <fb>45912</fb>
    <v>6</v>
  </rv>
  <rv s="2">
    <fb>45915</fb>
    <v>6</v>
  </rv>
  <rv s="2">
    <fb>45916</fb>
    <v>6</v>
  </rv>
  <rv s="2">
    <fb>45917</fb>
    <v>6</v>
  </rv>
  <rv s="2">
    <fb>45918</fb>
    <v>6</v>
  </rv>
  <rv s="2">
    <fb>45919</fb>
    <v>6</v>
  </rv>
  <rv s="2">
    <fb>45922</fb>
    <v>6</v>
  </rv>
  <rv s="2">
    <fb>45923</fb>
    <v>6</v>
  </rv>
  <rv s="2">
    <fb>45924</fb>
    <v>6</v>
  </rv>
  <rv s="2">
    <fb>45925</fb>
    <v>6</v>
  </rv>
  <rv s="2">
    <fb>45926</fb>
    <v>6</v>
  </rv>
  <rv s="2">
    <fb>45929</fb>
    <v>6</v>
  </rv>
  <rv s="2">
    <fb>45930</fb>
    <v>6</v>
  </rv>
  <rv s="2">
    <fb>45931</fb>
    <v>6</v>
  </rv>
  <rv s="2">
    <fb>45932</fb>
    <v>6</v>
  </rv>
  <rv s="2">
    <fb>45933</fb>
    <v>6</v>
  </rv>
  <rv s="2">
    <fb>45936</fb>
    <v>6</v>
  </rv>
  <rv s="2">
    <fb>45937</fb>
    <v>6</v>
  </rv>
  <rv s="2">
    <fb>45938</fb>
    <v>6</v>
  </rv>
  <rv s="2">
    <fb>45939</fb>
    <v>6</v>
  </rv>
  <rv s="2">
    <fb>45940</fb>
    <v>6</v>
  </rv>
  <rv s="2">
    <fb>45943</fb>
    <v>6</v>
  </rv>
  <rv s="2">
    <fb>45944</fb>
    <v>6</v>
  </rv>
  <rv s="2">
    <fb>45945</fb>
    <v>6</v>
  </rv>
  <rv s="2">
    <fb>45946</fb>
    <v>6</v>
  </rv>
  <rv s="2">
    <fb>45947</fb>
    <v>6</v>
  </rv>
  <rv s="2">
    <fb>45950</fb>
    <v>6</v>
  </rv>
  <rv s="2">
    <fb>45951</fb>
    <v>6</v>
  </rv>
  <rv s="2">
    <fb>45952</fb>
    <v>6</v>
  </rv>
  <rv s="2">
    <fb>45953</fb>
    <v>6</v>
  </rv>
  <rv s="2">
    <fb>45954</fb>
    <v>6</v>
  </rv>
  <rv s="2">
    <fb>45957</fb>
    <v>6</v>
  </rv>
  <rv s="2">
    <fb>45958</fb>
    <v>6</v>
  </rv>
  <rv s="2">
    <fb>45959</fb>
    <v>6</v>
  </rv>
  <rv s="2">
    <fb>45960</fb>
    <v>6</v>
  </rv>
  <rv s="2">
    <fb>45961</fb>
    <v>6</v>
  </rv>
  <rv s="2">
    <fb>45964</fb>
    <v>6</v>
  </rv>
  <rv s="2">
    <fb>45965</fb>
    <v>6</v>
  </rv>
  <rv s="2">
    <fb>45966</fb>
    <v>6</v>
  </rv>
  <rv s="2">
    <fb>45967</fb>
    <v>6</v>
  </rv>
  <rv s="2">
    <fb>45968</fb>
    <v>6</v>
  </rv>
  <rv s="2">
    <fb>45971</fb>
    <v>6</v>
  </rv>
  <rv s="2">
    <fb>45972</fb>
    <v>6</v>
  </rv>
  <rv s="2">
    <fb>45973</fb>
    <v>6</v>
  </rv>
  <rv s="2">
    <fb>45974</fb>
    <v>6</v>
  </rv>
  <rv s="2">
    <fb>45975</fb>
    <v>6</v>
  </rv>
  <rv s="2">
    <fb>45978</fb>
    <v>6</v>
  </rv>
  <rv s="2">
    <fb>45979</fb>
    <v>6</v>
  </rv>
  <rv s="2">
    <fb>45980</fb>
    <v>6</v>
  </rv>
  <rv s="2">
    <fb>45981</fb>
    <v>6</v>
  </rv>
  <rv s="2">
    <fb>45982</fb>
    <v>6</v>
  </rv>
  <rv s="2">
    <fb>45985</fb>
    <v>6</v>
  </rv>
  <rv s="2">
    <fb>45986</fb>
    <v>6</v>
  </rv>
  <rv s="2">
    <fb>45987</fb>
    <v>6</v>
  </rv>
  <rv s="2">
    <fb>45989</fb>
    <v>6</v>
  </rv>
  <rv s="2">
    <fb>45992</fb>
    <v>6</v>
  </rv>
  <rv s="2">
    <fb>45993</fb>
    <v>6</v>
  </rv>
  <rv s="2">
    <fb>45994</fb>
    <v>6</v>
  </rv>
  <rv s="2">
    <fb>45995</fb>
    <v>6</v>
  </rv>
  <rv s="2">
    <fb>45996</fb>
    <v>6</v>
  </rv>
  <rv s="2">
    <fb>45999</fb>
    <v>6</v>
  </rv>
  <rv s="2">
    <fb>46000</fb>
    <v>6</v>
  </rv>
  <rv s="2">
    <fb>46001</fb>
    <v>6</v>
  </rv>
  <rv s="2">
    <fb>46002</fb>
    <v>6</v>
  </rv>
  <rv s="2">
    <fb>46003</fb>
    <v>6</v>
  </rv>
  <rv s="2">
    <fb>46006</fb>
    <v>6</v>
  </rv>
  <rv s="2">
    <fb>46007</fb>
    <v>6</v>
  </rv>
  <rv s="2">
    <fb>46008</fb>
    <v>6</v>
  </rv>
  <rv s="2">
    <fb>46009</fb>
    <v>6</v>
  </rv>
  <rv s="2">
    <fb>46010</fb>
    <v>6</v>
  </rv>
  <rv s="2">
    <fb>46013</fb>
    <v>6</v>
  </rv>
  <rv s="2">
    <fb>46014</fb>
    <v>6</v>
  </rv>
  <rv s="2">
    <fb>46015</fb>
    <v>6</v>
  </rv>
  <rv s="2">
    <fb>46017</fb>
    <v>6</v>
  </rv>
  <rv s="2">
    <fb>46020</fb>
    <v>6</v>
  </rv>
  <rv s="2">
    <fb>46021</fb>
    <v>6</v>
  </rv>
  <rv s="2">
    <fb>46022</fb>
    <v>6</v>
  </rv>
  <rv s="2">
    <fb>46024</fb>
    <v>6</v>
  </rv>
  <rv s="2">
    <fb>46027</fb>
    <v>6</v>
  </rv>
  <rv s="2">
    <fb>46028</fb>
    <v>6</v>
  </rv>
  <rv s="2">
    <fb>46029</fb>
    <v>6</v>
  </rv>
  <rv s="2">
    <fb>46030</fb>
    <v>6</v>
  </rv>
  <rv s="2">
    <fb>46031</fb>
    <v>6</v>
  </rv>
  <rv s="2">
    <fb>46034</fb>
    <v>6</v>
  </rv>
  <rv s="2">
    <fb>46035</fb>
    <v>6</v>
  </rv>
  <rv s="2">
    <fb>46036</fb>
    <v>6</v>
  </rv>
  <rv s="2">
    <fb>46037</fb>
    <v>6</v>
  </rv>
  <rv s="2">
    <fb>46038</fb>
    <v>6</v>
  </rv>
  <rv s="2">
    <fb>46042</fb>
    <v>6</v>
  </rv>
  <rv s="2">
    <fb>46043</fb>
    <v>6</v>
  </rv>
  <rv s="2">
    <fb>46044</fb>
    <v>6</v>
  </rv>
  <rv s="2">
    <fb>46045</fb>
    <v>6</v>
  </rv>
  <rv s="2">
    <fb>46048</fb>
    <v>6</v>
  </rv>
  <rv s="2">
    <fb>46049</fb>
    <v>6</v>
  </rv>
  <rv s="2">
    <fb>46050</fb>
    <v>6</v>
  </rv>
  <rv s="2">
    <fb>46051</fb>
    <v>6</v>
  </rv>
  <rv s="2">
    <fb>46052</fb>
    <v>6</v>
  </rv>
  <rv s="2">
    <fb>46055</fb>
    <v>6</v>
  </rv>
  <rv s="2">
    <fb>46056</fb>
    <v>6</v>
  </rv>
  <rv s="2">
    <fb>46057</fb>
    <v>6</v>
  </rv>
  <rv s="2">
    <fb>46058</fb>
    <v>6</v>
  </rv>
  <rv s="2">
    <fb>46059</fb>
    <v>6</v>
  </rv>
  <rv s="2">
    <fb>46062</fb>
    <v>6</v>
  </rv>
  <rv s="2">
    <fb>46063</fb>
    <v>6</v>
  </rv>
  <rv s="3">
    <v>https://www.bing.com/financeapi/forcetrigger?t=a1u3p2&amp;q=XNAS%3aGOOG&amp;form=skydnc</v>
    <v>Learn more on Bing</v>
  </rv>
  <rv s="4">
    <v>7</v>
    <v>8</v>
    <v>ALPHABET INC. (XNAS:GOOG)</v>
    <v>9</v>
    <v>10</v>
    <v>Finance</v>
    <v>11</v>
    <v>fr-FR</v>
    <v>a1u3p2</v>
    <v>268435456</v>
    <v>1</v>
    <v>Avec Refinitiv</v>
    <v>XNAS</v>
    <v>12097000000</v>
    <v>2015</v>
    <v>314.66000000000003</v>
    <v>142.66</v>
    <v>1.0907</v>
    <v>3854467110000</v>
    <v>Nasdaq Stock Market</v>
    <v>0.5</v>
    <v>1.5690000000000001E-3</v>
    <v>324.39999999999998</v>
    <v>GOOG</v>
    <v>46064.041610346874</v>
    <v>Alphabet Inc est une société holding. Les segments de l'entreprise comprennent Google services, Google Cloud et d'autres Paris. Le segment des services Google comprend des produits et services tels que les publicités, Android, Chrome, les appareils, Google Maps, Google Play, Rechercher et YouTube. Le segment Google Cloud comprend des services d'infrastructure et de plate-forme, des outils de collaboration et d'autres services pour les clients d'entreprise. Son segment Other Bets est engagé dans la vente de services liés aux soins de santé et de services Internet. Google Cloud propose des services cloud adaptés aux entreprises, notamment Google Cloud Platform et Google Workspace. Google Cloud Platform donne accès à des solutions telles que des offres d'intelligence artificielle (IA), y compris son infrastructure d'IA, la plateforme Vertex ai et Gemini pour Google Cloud, la cybersécurité, les données et les analyses. Google Workspace inclut des outils de communication et de collaboration basés sur le cloud pour les entreprises, tels que Calendar, Gmail, Docs, Drive, et se rencontrer.</v>
    <v>USD</v>
    <v>190820</v>
    <v>XNAS</v>
    <v>321.63</v>
    <v>350.15</v>
    <v>Software &amp; IT Services</v>
    <v>253</v>
    <v>-1.7787000000000001E-2</v>
    <v>-5.77</v>
    <v>ALPHABET INC.</v>
    <v>ALPHABET INC.</v>
    <v>320.91000000000003</v>
    <v>29.519500000000001</v>
    <v>318.63</v>
    <v>319.13</v>
    <v>1600 Amphitheatre Parkway, MOUNTAIN VIEW, CA, 94043 US</v>
    <v>Bourse</v>
    <v>ALPHABET INC. (XNAS:GOOG)</v>
    <v>25281932</v>
    <v>23708642</v>
  </rv>
  <rv s="1">
    <v>254</v>
  </rv>
  <rv s="2">
    <fb>187.07</fb>
    <v>12</v>
  </rv>
  <rv s="2">
    <fb>185.43</fb>
    <v>12</v>
  </rv>
  <rv s="2">
    <fb>187.88</fb>
    <v>12</v>
  </rv>
  <rv s="2">
    <fb>186.87</fb>
    <v>12</v>
  </rv>
  <rv s="2">
    <fb>185.8</fb>
    <v>12</v>
  </rv>
  <rv s="2">
    <fb>187.13</fb>
    <v>12</v>
  </rv>
  <rv s="2">
    <fb>186.64</fb>
    <v>12</v>
  </rv>
  <rv s="2">
    <fb>181.58</fb>
    <v>12</v>
  </rv>
  <rv s="2">
    <fb>181.19</fb>
    <v>12</v>
  </rv>
  <rv s="2">
    <fb>177.37</fb>
    <v>12</v>
  </rv>
  <rv s="2">
    <fb>174.7</fb>
    <v>12</v>
  </rv>
  <rv s="2">
    <fb>170.21</fb>
    <v>12</v>
  </rv>
  <rv s="2">
    <fb>172.22</fb>
    <v>12</v>
  </rv>
  <rv s="2">
    <fb>168.66</fb>
    <v>12</v>
  </rv>
  <rv s="2">
    <fb>172.61</fb>
    <v>12</v>
  </rv>
  <rv s="2">
    <fb>174.99</fb>
    <v>12</v>
  </rv>
  <rv s="2">
    <fb>174.21</fb>
    <v>12</v>
  </rv>
  <rv s="2">
    <fb>175.75</fb>
    <v>12</v>
  </rv>
  <rv s="2">
    <fb>167.81</fb>
    <v>12</v>
  </rv>
  <rv s="2">
    <fb>165.98</fb>
    <v>12</v>
  </rv>
  <rv s="2">
    <fb>169</fb>
    <v>12</v>
  </rv>
  <rv s="2">
    <fb>164.73</fb>
    <v>12</v>
  </rv>
  <rv s="2">
    <fb>167.62</fb>
    <v>12</v>
  </rv>
  <rv s="2">
    <fb>166.57</fb>
    <v>12</v>
  </rv>
  <rv s="2">
    <fb>162.66999999999999</fb>
    <v>12</v>
  </rv>
  <rv s="2">
    <fb>166.28</fb>
    <v>12</v>
  </rv>
  <rv s="2">
    <fb>165.05</fb>
    <v>12</v>
  </rv>
  <rv s="2">
    <fb>166.25</fb>
    <v>12</v>
  </rv>
  <rv s="2">
    <fb>169.93</fb>
    <v>12</v>
  </rv>
  <rv s="2">
    <fb>172.79</fb>
    <v>12</v>
  </rv>
  <rv s="2">
    <fb>167.14</fb>
    <v>12</v>
  </rv>
  <rv s="2">
    <fb>164.08</fb>
    <v>12</v>
  </rv>
  <rv s="2">
    <fb>156.06</fb>
    <v>12</v>
  </rv>
  <rv s="2">
    <fb>156.22999999999999</fb>
    <v>12</v>
  </rv>
  <rv s="2">
    <fb>158.88</fb>
    <v>12</v>
  </rv>
  <rv s="2">
    <fb>158.86000000000001</fb>
    <v>12</v>
  </rv>
  <rv s="2">
    <fb>152.63</fb>
    <v>12</v>
  </rv>
  <rv s="2">
    <fb>147.74</fb>
    <v>12</v>
  </rv>
  <rv s="2">
    <fb>149.24</fb>
    <v>12</v>
  </rv>
  <rv s="2">
    <fb>146.58000000000001</fb>
    <v>12</v>
  </rv>
  <rv s="2">
    <fb>161.06</fb>
    <v>12</v>
  </rv>
  <rv s="2">
    <fb>155.37</fb>
    <v>12</v>
  </rv>
  <rv s="2">
    <fb>159.4</fb>
    <v>12</v>
  </rv>
  <rv s="2">
    <fb>161.47</fb>
    <v>12</v>
  </rv>
  <rv s="2">
    <fb>158.68</fb>
    <v>12</v>
  </rv>
  <rv s="2">
    <fb>155.5</fb>
    <v>12</v>
  </rv>
  <rv s="2">
    <fb>153.36000000000001</fb>
    <v>12</v>
  </rv>
  <rv s="2">
    <fb>149.86000000000001</fb>
    <v>12</v>
  </rv>
  <rv s="2">
    <fb>153.9</fb>
    <v>12</v>
  </rv>
  <rv s="2">
    <fb>157.72</fb>
    <v>12</v>
  </rv>
  <rv s="2">
    <fb>163.85</fb>
    <v>12</v>
  </rv>
  <rv s="2">
    <fb>162.41999999999999</fb>
    <v>12</v>
  </rv>
  <rv s="2">
    <fb>162.06</fb>
    <v>12</v>
  </rv>
  <rv s="2">
    <fb>160.88999999999999</fb>
    <v>12</v>
  </rv>
  <rv s="2">
    <fb>162.79</fb>
    <v>12</v>
  </rv>
  <rv s="2">
    <fb>165.81</fb>
    <v>12</v>
  </rv>
  <rv s="2">
    <fb>166.05</fb>
    <v>12</v>
  </rv>
  <rv s="2">
    <fb>165.2</fb>
    <v>12</v>
  </rv>
  <rv s="2">
    <fb>152.80000000000001</fb>
    <v>12</v>
  </rv>
  <rv s="2">
    <fb>155.75</fb>
    <v>12</v>
  </rv>
  <rv s="2">
    <fb>154.38</fb>
    <v>12</v>
  </rv>
  <rv s="2">
    <fb>159.58000000000001</fb>
    <v>12</v>
  </rv>
  <rv s="2">
    <fb>166.81</fb>
    <v>12</v>
  </rv>
  <rv s="2">
    <fb>165.4</fb>
    <v>12</v>
  </rv>
  <rv s="2">
    <fb>167.43</fb>
    <v>12</v>
  </rv>
  <rv s="2">
    <fb>167.87</fb>
    <v>12</v>
  </rv>
  <rv s="2">
    <fb>165.32</fb>
    <v>12</v>
  </rv>
  <rv s="2">
    <fb>170.06</fb>
    <v>12</v>
  </rv>
  <rv s="2">
    <fb>171.98</fb>
    <v>12</v>
  </rv>
  <rv s="2">
    <fb>169.59</fb>
    <v>12</v>
  </rv>
  <rv s="2">
    <fb>173.98</fb>
    <v>12</v>
  </rv>
  <rv s="2">
    <fb>173.38</fb>
    <v>12</v>
  </rv>
  <rv s="2">
    <fb>172.96</fb>
    <v>12</v>
  </rv>
  <rv s="2">
    <fb>172.85</fb>
    <v>12</v>
  </rv>
  <rv s="2">
    <fb>170.37</fb>
    <v>12</v>
  </rv>
  <rv s="2">
    <fb>167.71</fb>
    <v>12</v>
  </rv>
  <rv s="2">
    <fb>169.39</fb>
    <v>12</v>
  </rv>
  <rv s="2">
    <fb>169.81</fb>
    <v>12</v>
  </rv>
  <rv s="2">
    <fb>174.92</fb>
    <v>12</v>
  </rv>
  <rv s="2">
    <fb>177.63</fb>
    <v>12</v>
  </rv>
  <rv s="2">
    <fb>180.01</fb>
    <v>12</v>
  </rv>
  <rv s="2">
    <fb>178.79</fb>
    <v>12</v>
  </rv>
  <rv s="2">
    <fb>176.97</fb>
    <v>12</v>
  </rv>
  <rv s="2">
    <fb>175.88</fb>
    <v>12</v>
  </rv>
  <rv s="2">
    <fb>177.94</fb>
    <v>12</v>
  </rv>
  <rv s="2">
    <fb>177.23</fb>
    <v>12</v>
  </rv>
  <rv s="2">
    <fb>167.73</fb>
    <v>12</v>
  </rv>
  <rv s="2">
    <fb>166.01</fb>
    <v>12</v>
  </rv>
  <rv s="2">
    <fb>167.74</fb>
    <v>12</v>
  </rv>
  <rv s="2">
    <fb>171.49</fb>
    <v>12</v>
  </rv>
  <rv s="2">
    <fb>174.43</fb>
    <v>12</v>
  </rv>
  <rv s="2">
    <fb>178.27</fb>
    <v>12</v>
  </rv>
  <rv s="2">
    <fb>177.39</fb>
    <v>12</v>
  </rv>
  <rv s="2">
    <fb>176.91</fb>
    <v>12</v>
  </rv>
  <rv s="2">
    <fb>179.76</fb>
    <v>12</v>
  </rv>
  <rv s="2">
    <fb>180.55</fb>
    <v>12</v>
  </rv>
  <rv s="2">
    <fb>177.56</fb>
    <v>12</v>
  </rv>
  <rv s="2">
    <fb>175.16</fb>
    <v>12</v>
  </rv>
  <rv s="2">
    <fb>177.66</fb>
    <v>12</v>
  </rv>
  <rv s="2">
    <fb>178.7</fb>
    <v>12</v>
  </rv>
  <rv s="2">
    <fb>181.31</fb>
    <v>12</v>
  </rv>
  <rv s="2">
    <fb>182.81</fb>
    <v>12</v>
  </rv>
  <rv s="2">
    <fb>183.1</fb>
    <v>12</v>
  </rv>
  <rv s="2">
    <fb>183.77</fb>
    <v>12</v>
  </rv>
  <rv s="2">
    <fb>184.7</fb>
    <v>12</v>
  </rv>
  <rv s="2">
    <fb>185.94</fb>
    <v>12</v>
  </rv>
  <rv s="2">
    <fb>191.15</fb>
    <v>12</v>
  </rv>
  <rv s="2">
    <fb>192.11</fb>
    <v>12</v>
  </rv>
  <rv s="2">
    <fb>191.51</fb>
    <v>12</v>
  </rv>
  <rv s="2">
    <fb>193.2</fb>
    <v>12</v>
  </rv>
  <rv s="2">
    <fb>194.08</fb>
    <v>12</v>
  </rv>
  <rv s="2">
    <fb>193.42</fb>
    <v>12</v>
  </rv>
  <rv s="2">
    <fb>196.43</fb>
    <v>12</v>
  </rv>
  <rv s="2">
    <fb>197.44</fb>
    <v>12</v>
  </rv>
  <rv s="2">
    <fb>192.86</fb>
    <v>12</v>
  </rv>
  <rv s="2">
    <fb>189.95</fb>
    <v>12</v>
  </rv>
  <rv s="2">
    <fb>195.75</fb>
    <v>12</v>
  </rv>
  <rv s="2">
    <fb>195.32</fb>
    <v>12</v>
  </rv>
  <rv s="2">
    <fb>196.92</fb>
    <v>12</v>
  </rv>
  <rv s="2">
    <fb>197.28</fb>
    <v>12</v>
  </rv>
  <rv s="2">
    <fb>202.09</fb>
    <v>12</v>
  </rv>
  <rv s="2">
    <fb>201.63</fb>
    <v>12</v>
  </rv>
  <rv s="2">
    <fb>204.16</fb>
    <v>12</v>
  </rv>
  <rv s="2">
    <fb>203.03</fb>
    <v>12</v>
  </rv>
  <rv s="2">
    <fb>203.82</fb>
    <v>12</v>
  </rv>
  <rv s="2">
    <fb>204.91</fb>
    <v>12</v>
  </rv>
  <rv s="2">
    <fb>204.29</fb>
    <v>12</v>
  </rv>
  <rv s="2">
    <fb>202.49</fb>
    <v>12</v>
  </rv>
  <rv s="2">
    <fb>200.19</fb>
    <v>12</v>
  </rv>
  <rv s="2">
    <fb>200.62</fb>
    <v>12</v>
  </rv>
  <rv s="2">
    <fb>206.72</fb>
    <v>12</v>
  </rv>
  <rv s="2">
    <fb>209.16</fb>
    <v>12</v>
  </rv>
  <rv s="2">
    <fb>207.95</fb>
    <v>12</v>
  </rv>
  <rv s="2">
    <fb>208.21</fb>
    <v>12</v>
  </rv>
  <rv s="2">
    <fb>212.37</fb>
    <v>12</v>
  </rv>
  <rv s="2">
    <fb>213.53</fb>
    <v>12</v>
  </rv>
  <rv s="2">
    <fb>211.99</fb>
    <v>12</v>
  </rv>
  <rv s="2">
    <fb>231.1</fb>
    <v>12</v>
  </rv>
  <rv s="2">
    <fb>232.66</fb>
    <v>12</v>
  </rv>
  <rv s="2">
    <fb>235.17</fb>
    <v>12</v>
  </rv>
  <rv s="2">
    <fb>234.16</fb>
    <v>12</v>
  </rv>
  <rv s="2">
    <fb>239.94</fb>
    <v>12</v>
  </rv>
  <rv s="2">
    <fb>239.56</fb>
    <v>12</v>
  </rv>
  <rv s="2">
    <fb>240.78</fb>
    <v>12</v>
  </rv>
  <rv s="2">
    <fb>241.38</fb>
    <v>12</v>
  </rv>
  <rv s="2">
    <fb>251.76</fb>
    <v>12</v>
  </rv>
  <rv s="2">
    <fb>251.42</fb>
    <v>12</v>
  </rv>
  <rv s="2">
    <fb>249.85</fb>
    <v>12</v>
  </rv>
  <rv s="2">
    <fb>252.33</fb>
    <v>12</v>
  </rv>
  <rv s="2">
    <fb>255.24</fb>
    <v>12</v>
  </rv>
  <rv s="2">
    <fb>252.88</fb>
    <v>12</v>
  </rv>
  <rv s="2">
    <fb>252.34</fb>
    <v>12</v>
  </rv>
  <rv s="2">
    <fb>247.83</fb>
    <v>12</v>
  </rv>
  <rv s="2">
    <fb>246.57</fb>
    <v>12</v>
  </rv>
  <rv s="2">
    <fb>247.18</fb>
    <v>12</v>
  </rv>
  <rv s="2">
    <fb>244.36</fb>
    <v>12</v>
  </rv>
  <rv s="2">
    <fb>243.55</fb>
    <v>12</v>
  </rv>
  <rv s="2">
    <fb>245.54</fb>
    <v>12</v>
  </rv>
  <rv s="2">
    <fb>246.43</fb>
    <v>12</v>
  </rv>
  <rv s="2">
    <fb>246.45</fb>
    <v>12</v>
  </rv>
  <rv s="2">
    <fb>251.51</fb>
    <v>12</v>
  </rv>
  <rv s="2">
    <fb>247.13</fb>
    <v>12</v>
  </rv>
  <rv s="2">
    <fb>245.46</fb>
    <v>12</v>
  </rv>
  <rv s="2">
    <fb>242.21</fb>
    <v>12</v>
  </rv>
  <rv s="2">
    <fb>237.49</fb>
    <v>12</v>
  </rv>
  <rv s="2">
    <fb>244.64</fb>
    <v>12</v>
  </rv>
  <rv s="2">
    <fb>246.19</fb>
    <v>12</v>
  </rv>
  <rv s="2">
    <fb>251.71</fb>
    <v>12</v>
  </rv>
  <rv s="2">
    <fb>251.88</fb>
    <v>12</v>
  </rv>
  <rv s="2">
    <fb>253.79</fb>
    <v>12</v>
  </rv>
  <rv s="2">
    <fb>257.02</fb>
    <v>12</v>
  </rv>
  <rv s="2">
    <fb>251.34</fb>
    <v>12</v>
  </rv>
  <rv s="2">
    <fb>252.53</fb>
    <v>12</v>
  </rv>
  <rv s="2">
    <fb>253.73</fb>
    <v>12</v>
  </rv>
  <rv s="2">
    <fb>260.51</fb>
    <v>12</v>
  </rv>
  <rv s="2">
    <fb>269.93</fb>
    <v>12</v>
  </rv>
  <rv s="2">
    <fb>268.43</fb>
    <v>12</v>
  </rv>
  <rv s="2">
    <fb>275.17</fb>
    <v>12</v>
  </rv>
  <rv s="2">
    <fb>281.89999999999998</fb>
    <v>12</v>
  </rv>
  <rv s="2">
    <fb>281.82</fb>
    <v>12</v>
  </rv>
  <rv s="2">
    <fb>284.12</fb>
    <v>12</v>
  </rv>
  <rv s="2">
    <fb>278.06</fb>
    <v>12</v>
  </rv>
  <rv s="2">
    <fb>284.75</fb>
    <v>12</v>
  </rv>
  <rv s="2">
    <fb>285.33999999999997</fb>
    <v>12</v>
  </rv>
  <rv s="2">
    <fb>279.7</fb>
    <v>12</v>
  </rv>
  <rv s="2">
    <fb>290.58999999999997</fb>
    <v>12</v>
  </rv>
  <rv s="2">
    <fb>291.74</fb>
    <v>12</v>
  </rv>
  <rv s="2">
    <fb>287.43</fb>
    <v>12</v>
  </rv>
  <rv s="2">
    <fb>279.12</fb>
    <v>12</v>
  </rv>
  <rv s="2">
    <fb>276.98</fb>
    <v>12</v>
  </rv>
  <rv s="2">
    <fb>285.60000000000002</fb>
    <v>12</v>
  </rv>
  <rv s="2">
    <fb>284.95999999999998</fb>
    <v>12</v>
  </rv>
  <rv s="2">
    <fb>292.99</fb>
    <v>12</v>
  </rv>
  <rv s="2">
    <fb>289.98</fb>
    <v>12</v>
  </rv>
  <rv s="2">
    <fb>299.64999999999998</fb>
    <v>12</v>
  </rv>
  <rv s="2">
    <fb>318.47000000000003</fb>
    <v>12</v>
  </rv>
  <rv s="2">
    <fb>323.64</fb>
    <v>12</v>
  </rv>
  <rv s="2">
    <fb>320.27999999999997</fb>
    <v>12</v>
  </rv>
  <rv s="2">
    <fb>320.12</fb>
    <v>12</v>
  </rv>
  <rv s="2">
    <fb>315.12</fb>
    <v>12</v>
  </rv>
  <rv s="2">
    <fb>316.02</fb>
    <v>12</v>
  </rv>
  <rv s="2">
    <fb>320.62</fb>
    <v>12</v>
  </rv>
  <rv s="2">
    <fb>318.39</fb>
    <v>12</v>
  </rv>
  <rv s="2">
    <fb>322.08999999999997</fb>
    <v>12</v>
  </rv>
  <rv s="2">
    <fb>314.45</fb>
    <v>12</v>
  </rv>
  <rv s="2">
    <fb>317.75</fb>
    <v>12</v>
  </rv>
  <rv s="2">
    <fb>321</fb>
    <v>12</v>
  </rv>
  <rv s="2">
    <fb>313.7</fb>
    <v>12</v>
  </rv>
  <rv s="2">
    <fb>310.52</fb>
    <v>12</v>
  </rv>
  <rv s="2">
    <fb>309.32</fb>
    <v>12</v>
  </rv>
  <rv s="2">
    <fb>307.73</fb>
    <v>12</v>
  </rv>
  <rv s="2">
    <fb>298.06</fb>
    <v>12</v>
  </rv>
  <rv s="2">
    <fb>303.75</fb>
    <v>12</v>
  </rv>
  <rv s="2">
    <fb>308.61</fb>
    <v>12</v>
  </rv>
  <rv s="2">
    <fb>311.33</fb>
    <v>12</v>
  </rv>
  <rv s="2">
    <fb>315.68</fb>
    <v>12</v>
  </rv>
  <rv s="2">
    <fb>315.67</fb>
    <v>12</v>
  </rv>
  <rv s="2">
    <fb>314.95999999999998</fb>
    <v>12</v>
  </rv>
  <rv s="2">
    <fb>314.39</fb>
    <v>12</v>
  </rv>
  <rv s="2">
    <fb>314.55</fb>
    <v>12</v>
  </rv>
  <rv s="2">
    <fb>313.8</fb>
    <v>12</v>
  </rv>
  <rv s="2">
    <fb>315.32</fb>
    <v>12</v>
  </rv>
  <rv s="2">
    <fb>317.32</fb>
    <v>12</v>
  </rv>
  <rv s="2">
    <fb>322.43</fb>
    <v>12</v>
  </rv>
  <rv s="2">
    <fb>326.01</fb>
    <v>12</v>
  </rv>
  <rv s="2">
    <fb>329.14</fb>
    <v>12</v>
  </rv>
  <rv s="2">
    <fb>332.73</fb>
    <v>12</v>
  </rv>
  <rv s="2">
    <fb>336.43</fb>
    <v>12</v>
  </rv>
  <rv s="2">
    <fb>336.31</fb>
    <v>12</v>
  </rv>
  <rv s="2">
    <fb>333.16</fb>
    <v>12</v>
  </rv>
  <rv s="2">
    <fb>330.34</fb>
    <v>12</v>
  </rv>
  <rv s="2">
    <fb>322.16000000000003</fb>
    <v>12</v>
  </rv>
  <rv s="2">
    <fb>328.38</fb>
    <v>12</v>
  </rv>
  <rv s="2">
    <fb>330.84</fb>
    <v>12</v>
  </rv>
  <rv s="2">
    <fb>328.43</fb>
    <v>12</v>
  </rv>
  <rv s="2">
    <fb>333.59</fb>
    <v>12</v>
  </rv>
  <rv s="2">
    <fb>335</fb>
    <v>12</v>
  </rv>
  <rv s="2">
    <fb>336.28</fb>
    <v>12</v>
  </rv>
  <rv s="2">
    <fb>338.66</fb>
    <v>12</v>
  </rv>
  <rv s="2">
    <fb>338.53</fb>
    <v>12</v>
  </rv>
  <rv s="2">
    <fb>344.9</fb>
    <v>12</v>
  </rv>
  <rv s="2">
    <fb>340.7</fb>
    <v>12</v>
  </rv>
  <rv s="2">
    <fb>333.34</fb>
    <v>12</v>
  </rv>
  <rv s="2">
    <fb>331.33</fb>
    <v>12</v>
  </rv>
  <rv s="2">
    <fb>323.10000000000002</fb>
    <v>12</v>
  </rv>
  <rv s="2">
    <fb>324.39999999999998</fb>
    <v>12</v>
  </rv>
  <rv s="2">
    <fb>318.63</fb>
    <v>12</v>
  </rv>
  <rv s="3">
    <v>https://www.bing.com/financeapi/forcetrigger?t=a1nhlh&amp;q=XNAS%3aAMZN&amp;form=skydnc</v>
    <v>Learn more on Bing</v>
  </rv>
  <rv s="4">
    <v>7</v>
    <v>8</v>
    <v>AMAZON.COM, INC. (XNAS:AMZN)</v>
    <v>9</v>
    <v>10</v>
    <v>Finance</v>
    <v>11</v>
    <v>fr-FR</v>
    <v>a1nhlh</v>
    <v>268435456</v>
    <v>1</v>
    <v>Avec Refinitiv</v>
    <v>XNAS</v>
    <v>10734920000</v>
    <v>1996</v>
    <v>206.411</v>
    <v>161.38</v>
    <v>1.3944000000000001</v>
    <v>2221699043200</v>
    <v>Nasdaq Stock Market</v>
    <v>0.84970000000000001</v>
    <v>4.1060000000000003E-3</v>
    <v>208.72</v>
    <v>AMZN</v>
    <v>46064.041656214846</v>
    <v>Amazon.com, Inc. fournit une gamme de produits et de services à ses clients. Les produits offerts dans ses magasins comprennent les marchandises et le contenu qu'elle a achetés pour la revente et les produits offerts par des vendeurs tiers. Les segments de la société comprennent l'Amérique du Nord, l'International et Amazon Web services (AWS). Il sert les consommateurs par le biais de ses magasins en ligne et physiques et se concentre sur la sélection, le prix et la commodité. Les clients accèdent à ses offres via ses sites Web, applications mobiles, Alexa, appareils, streaming, et en visitant physiquement ses magasins. Il fabrique et vend des appareils électroniques, y compris Kindle, Fire Tablet, Fire TV, Echo, Ring, Blink et eero, et elle développe et produit du contenu multimédia. Il sert les développeurs et les entreprises de toutes tailles, y compris les start-ups, les agences gouvernementales et les établissements universitaires, via AWS, qui offre un large éventail de services technologiques à la demande, y compris le calcul, le stockage, la base de données, l'analyse, et l'apprentissage automatique, et d'autres services.</v>
    <v>USD</v>
    <v>1576000</v>
    <v>XNAS</v>
    <v>212.6499</v>
    <v>258.60000000000002</v>
    <v>Diversified Retail</v>
    <v>503</v>
    <v>-8.4320000000000003E-3</v>
    <v>-1.76</v>
    <v>AMAZON.COM, INC.</v>
    <v>AMAZON.COM, INC.</v>
    <v>208.79499999999999</v>
    <v>28.855899999999998</v>
    <v>206.96</v>
    <v>207.80969999999999</v>
    <v>410 Terry Avenue North, SEATTLE, WA, 98109 US</v>
    <v>Bourse</v>
    <v>AMAZON.COM, INC. (XNAS:AMZN)</v>
    <v>67175031</v>
    <v>52287201</v>
  </rv>
  <rv s="1">
    <v>504</v>
  </rv>
  <rv s="2">
    <fb>232.76</fb>
    <v>12</v>
  </rv>
  <rv s="2">
    <fb>228.93</fb>
    <v>12</v>
  </rv>
  <rv s="2">
    <fb>230.37</fb>
    <v>12</v>
  </rv>
  <rv s="2">
    <fb>228.68</fb>
    <v>12</v>
  </rv>
  <rv s="2">
    <fb>226.65</fb>
    <v>12</v>
  </rv>
  <rv s="2">
    <fb>226.63</fb>
    <v>12</v>
  </rv>
  <rv s="2">
    <fb>222.88</fb>
    <v>12</v>
  </rv>
  <rv s="2">
    <fb>216.58</fb>
    <v>12</v>
  </rv>
  <rv s="2">
    <fb>212.71</fb>
    <v>12</v>
  </rv>
  <rv s="2">
    <fb>212.8</fb>
    <v>12</v>
  </rv>
  <rv s="2">
    <fb>214.35</fb>
    <v>12</v>
  </rv>
  <rv s="2">
    <fb>208.74</fb>
    <v>12</v>
  </rv>
  <rv s="2">
    <fb>212.28</fb>
    <v>12</v>
  </rv>
  <rv s="2">
    <fb>205.02</fb>
    <v>12</v>
  </rv>
  <rv s="2">
    <fb>203.8</fb>
    <v>12</v>
  </rv>
  <rv s="2">
    <fb>208.36</fb>
    <v>12</v>
  </rv>
  <rv s="2">
    <fb>200.7</fb>
    <v>12</v>
  </rv>
  <rv s="2">
    <fb>199.25</fb>
    <v>12</v>
  </rv>
  <rv s="2">
    <fb>194.54</fb>
    <v>12</v>
  </rv>
  <rv s="2">
    <fb>196.59</fb>
    <v>12</v>
  </rv>
  <rv s="2">
    <fb>198.89</fb>
    <v>12</v>
  </rv>
  <rv s="2">
    <fb>193.89</fb>
    <v>12</v>
  </rv>
  <rv s="2">
    <fb>197.95</fb>
    <v>12</v>
  </rv>
  <rv s="2">
    <fb>195.74</fb>
    <v>12</v>
  </rv>
  <rv s="2">
    <fb>192.82</fb>
    <v>12</v>
  </rv>
  <rv s="2">
    <fb>195.54</fb>
    <v>12</v>
  </rv>
  <rv s="2">
    <fb>194.95</fb>
    <v>12</v>
  </rv>
  <rv s="2">
    <fb>196.21</fb>
    <v>12</v>
  </rv>
  <rv s="2">
    <fb>203.26</fb>
    <v>12</v>
  </rv>
  <rv s="2">
    <fb>205.71</fb>
    <v>12</v>
  </rv>
  <rv s="2">
    <fb>201.13</fb>
    <v>12</v>
  </rv>
  <rv s="2">
    <fb>201.36</fb>
    <v>12</v>
  </rv>
  <rv s="2">
    <fb>192.72</fb>
    <v>12</v>
  </rv>
  <rv s="2">
    <fb>190.26</fb>
    <v>12</v>
  </rv>
  <rv s="2">
    <fb>192.17</fb>
    <v>12</v>
  </rv>
  <rv s="2">
    <fb>196.01</fb>
    <v>12</v>
  </rv>
  <rv s="2">
    <fb>178.41</fb>
    <v>12</v>
  </rv>
  <rv s="2">
    <fb>171</fb>
    <v>12</v>
  </rv>
  <rv s="2">
    <fb>175.26</fb>
    <v>12</v>
  </rv>
  <rv s="2">
    <fb>170.66</fb>
    <v>12</v>
  </rv>
  <rv s="2">
    <fb>191.1</fb>
    <v>12</v>
  </rv>
  <rv s="2">
    <fb>181.22</fb>
    <v>12</v>
  </rv>
  <rv s="2">
    <fb>184.87</fb>
    <v>12</v>
  </rv>
  <rv s="2">
    <fb>182.12</fb>
    <v>12</v>
  </rv>
  <rv s="2">
    <fb>179.59</fb>
    <v>12</v>
  </rv>
  <rv s="2">
    <fb>174.33</fb>
    <v>12</v>
  </rv>
  <rv s="2">
    <fb>167.32</fb>
    <v>12</v>
  </rv>
  <rv s="2">
    <fb>173.18</fb>
    <v>12</v>
  </rv>
  <rv s="2">
    <fb>180.6</fb>
    <v>12</v>
  </rv>
  <rv s="2">
    <fb>186.54</fb>
    <v>12</v>
  </rv>
  <rv s="2">
    <fb>188.99</fb>
    <v>12</v>
  </rv>
  <rv s="2">
    <fb>187.7</fb>
    <v>12</v>
  </rv>
  <rv s="2">
    <fb>187.39</fb>
    <v>12</v>
  </rv>
  <rv s="2">
    <fb>184.42</fb>
    <v>12</v>
  </rv>
  <rv s="2">
    <fb>190.2</fb>
    <v>12</v>
  </rv>
  <rv s="2">
    <fb>189.98</fb>
    <v>12</v>
  </rv>
  <rv s="2">
    <fb>186.35</fb>
    <v>12</v>
  </rv>
  <rv s="2">
    <fb>185.01</fb>
    <v>12</v>
  </rv>
  <rv s="2">
    <fb>188.71</fb>
    <v>12</v>
  </rv>
  <rv s="2">
    <fb>192.08</fb>
    <v>12</v>
  </rv>
  <rv s="2">
    <fb>193.06</fb>
    <v>12</v>
  </rv>
  <rv s="2">
    <fb>208.64</fb>
    <v>12</v>
  </rv>
  <rv s="2">
    <fb>211.37</fb>
    <v>12</v>
  </rv>
  <rv s="2">
    <fb>210.25</fb>
    <v>12</v>
  </rv>
  <rv s="2">
    <fb>205.17</fb>
    <v>12</v>
  </rv>
  <rv s="2">
    <fb>205.59</fb>
    <v>12</v>
  </rv>
  <rv s="2">
    <fb>206.16</fb>
    <v>12</v>
  </rv>
  <rv s="2">
    <fb>204.07</fb>
    <v>12</v>
  </rv>
  <rv s="2">
    <fb>201.12</fb>
    <v>12</v>
  </rv>
  <rv s="2">
    <fb>203.1</fb>
    <v>12</v>
  </rv>
  <rv s="2">
    <fb>200.99</fb>
    <v>12</v>
  </rv>
  <rv s="2">
    <fb>206.02</fb>
    <v>12</v>
  </rv>
  <rv s="2">
    <fb>204.72</fb>
    <v>12</v>
  </rv>
  <rv s="2">
    <fb>205.7</fb>
    <v>12</v>
  </rv>
  <rv s="2">
    <fb>205.01</fb>
    <v>12</v>
  </rv>
  <rv s="2">
    <fb>206.65</fb>
    <v>12</v>
  </rv>
  <rv s="2">
    <fb>207.23</fb>
    <v>12</v>
  </rv>
  <rv s="2">
    <fb>207.91</fb>
    <v>12</v>
  </rv>
  <rv s="2">
    <fb>213.57</fb>
    <v>12</v>
  </rv>
  <rv s="2">
    <fb>216.98</fb>
    <v>12</v>
  </rv>
  <rv s="2">
    <fb>217.61</fb>
    <v>12</v>
  </rv>
  <rv s="2">
    <fb>213.2</fb>
    <v>12</v>
  </rv>
  <rv s="2">
    <fb>213.24</fb>
    <v>12</v>
  </rv>
  <rv s="2">
    <fb>212.1</fb>
    <v>12</v>
  </rv>
  <rv s="2">
    <fb>216.1</fb>
    <v>12</v>
  </rv>
  <rv s="2">
    <fb>214.82</fb>
    <v>12</v>
  </rv>
  <rv s="2">
    <fb>212.52</fb>
    <v>12</v>
  </rv>
  <rv s="2">
    <fb>209.69</fb>
    <v>12</v>
  </rv>
  <rv s="2">
    <fb>208.47</fb>
    <v>12</v>
  </rv>
  <rv s="2">
    <fb>212.77</fb>
    <v>12</v>
  </rv>
  <rv s="2">
    <fb>217.12</fb>
    <v>12</v>
  </rv>
  <rv s="2">
    <fb>223.3</fb>
    <v>12</v>
  </rv>
  <rv s="2">
    <fb>219.39</fb>
    <v>12</v>
  </rv>
  <rv s="2">
    <fb>220.46</fb>
    <v>12</v>
  </rv>
  <rv s="2">
    <fb>219.92</fb>
    <v>12</v>
  </rv>
  <rv s="2">
    <fb>223.41</fb>
    <v>12</v>
  </rv>
  <rv s="2">
    <fb>223.47</fb>
    <v>12</v>
  </rv>
  <rv s="2">
    <fb>219.36</fb>
    <v>12</v>
  </rv>
  <rv s="2">
    <fb>222.54</fb>
    <v>12</v>
  </rv>
  <rv s="2">
    <fb>222.26</fb>
    <v>12</v>
  </rv>
  <rv s="2">
    <fb>225.02</fb>
    <v>12</v>
  </rv>
  <rv s="2">
    <fb>225.69</fb>
    <v>12</v>
  </rv>
  <rv s="2">
    <fb>226.35</fb>
    <v>12</v>
  </rv>
  <rv s="2">
    <fb>223.19</fb>
    <v>12</v>
  </rv>
  <rv s="2">
    <fb>223.88</fb>
    <v>12</v>
  </rv>
  <rv s="2">
    <fb>226.13</fb>
    <v>12</v>
  </rv>
  <rv s="2">
    <fb>229.3</fb>
    <v>12</v>
  </rv>
  <rv s="2">
    <fb>227.47</fb>
    <v>12</v>
  </rv>
  <rv s="2">
    <fb>228.29</fb>
    <v>12</v>
  </rv>
  <rv s="2">
    <fb>232.23</fb>
    <v>12</v>
  </rv>
  <rv s="2">
    <fb>231.44</fb>
    <v>12</v>
  </rv>
  <rv s="2">
    <fb>232.79</fb>
    <v>12</v>
  </rv>
  <rv s="2">
    <fb>231.01</fb>
    <v>12</v>
  </rv>
  <rv s="2">
    <fb>230.19</fb>
    <v>12</v>
  </rv>
  <rv s="2">
    <fb>234.11</fb>
    <v>12</v>
  </rv>
  <rv s="2">
    <fb>214.75</fb>
    <v>12</v>
  </rv>
  <rv s="2">
    <fb>211.65</fb>
    <v>12</v>
  </rv>
  <rv s="2">
    <fb>213.75</fb>
    <v>12</v>
  </rv>
  <rv s="2">
    <fb>222.31</fb>
    <v>12</v>
  </rv>
  <rv s="2">
    <fb>223.13</fb>
    <v>12</v>
  </rv>
  <rv s="2">
    <fb>222.69</fb>
    <v>12</v>
  </rv>
  <rv s="2">
    <fb>221.3</fb>
    <v>12</v>
  </rv>
  <rv s="2">
    <fb>221.47</fb>
    <v>12</v>
  </rv>
  <rv s="2">
    <fb>224.56</fb>
    <v>12</v>
  </rv>
  <rv s="2">
    <fb>230.98</fb>
    <v>12</v>
  </rv>
  <rv s="2">
    <fb>231.03</fb>
    <v>12</v>
  </rv>
  <rv s="2">
    <fb>231.49</fb>
    <v>12</v>
  </rv>
  <rv s="2">
    <fb>228.01</fb>
    <v>12</v>
  </rv>
  <rv s="2">
    <fb>223.81</fb>
    <v>12</v>
  </rv>
  <rv s="2">
    <fb>221.95</fb>
    <v>12</v>
  </rv>
  <rv s="2">
    <fb>228.84</fb>
    <v>12</v>
  </rv>
  <rv s="2">
    <fb>227.94</fb>
    <v>12</v>
  </rv>
  <rv s="2">
    <fb>228.71</fb>
    <v>12</v>
  </rv>
  <rv s="2">
    <fb>229.12</fb>
    <v>12</v>
  </rv>
  <rv s="2">
    <fb>231.6</fb>
    <v>12</v>
  </rv>
  <rv s="2">
    <fb>229</fb>
    <v>12</v>
  </rv>
  <rv s="2">
    <fb>225.34</fb>
    <v>12</v>
  </rv>
  <rv s="2">
    <fb>225.99</fb>
    <v>12</v>
  </rv>
  <rv s="2">
    <fb>235.68</fb>
    <v>12</v>
  </rv>
  <rv s="2">
    <fb>232.33</fb>
    <v>12</v>
  </rv>
  <rv s="2">
    <fb>235.84</fb>
    <v>12</v>
  </rv>
  <rv s="2">
    <fb>238.24</fb>
    <v>12</v>
  </rv>
  <rv s="2">
    <fb>230.33</fb>
    <v>12</v>
  </rv>
  <rv s="2">
    <fb>229.95</fb>
    <v>12</v>
  </rv>
  <rv s="2">
    <fb>228.15</fb>
    <v>12</v>
  </rv>
  <rv s="2">
    <fb>231.43</fb>
    <v>12</v>
  </rv>
  <rv s="2">
    <fb>234.05</fb>
    <v>12</v>
  </rv>
  <rv s="2">
    <fb>231.62</fb>
    <v>12</v>
  </rv>
  <rv s="2">
    <fb>231.23</fb>
    <v>12</v>
  </rv>
  <rv s="2">
    <fb>231.48</fb>
    <v>12</v>
  </rv>
  <rv s="2">
    <fb>227.63</fb>
    <v>12</v>
  </rv>
  <rv s="2">
    <fb>220.71</fb>
    <v>12</v>
  </rv>
  <rv s="2">
    <fb>220.21</fb>
    <v>12</v>
  </rv>
  <rv s="2">
    <fb>218.15</fb>
    <v>12</v>
  </rv>
  <rv s="2">
    <fb>219.78</fb>
    <v>12</v>
  </rv>
  <rv s="2">
    <fb>222.17</fb>
    <v>12</v>
  </rv>
  <rv s="2">
    <fb>219.57</fb>
    <v>12</v>
  </rv>
  <rv s="2">
    <fb>220.63</fb>
    <v>12</v>
  </rv>
  <rv s="2">
    <fb>222.41</fb>
    <v>12</v>
  </rv>
  <rv s="2">
    <fb>219.51</fb>
    <v>12</v>
  </rv>
  <rv s="2">
    <fb>220.9</fb>
    <v>12</v>
  </rv>
  <rv s="2">
    <fb>221.78</fb>
    <v>12</v>
  </rv>
  <rv s="2">
    <fb>225.22</fb>
    <v>12</v>
  </rv>
  <rv s="2">
    <fb>227.74</fb>
    <v>12</v>
  </rv>
  <rv s="2">
    <fb>216.37</fb>
    <v>12</v>
  </rv>
  <rv s="2">
    <fb>220.07</fb>
    <v>12</v>
  </rv>
  <rv s="2">
    <fb>216.39</fb>
    <v>12</v>
  </rv>
  <rv s="2">
    <fb>215.57</fb>
    <v>12</v>
  </rv>
  <rv s="2">
    <fb>214.47</fb>
    <v>12</v>
  </rv>
  <rv s="2">
    <fb>213.04</fb>
    <v>12</v>
  </rv>
  <rv s="2">
    <fb>216.48</fb>
    <v>12</v>
  </rv>
  <rv s="2">
    <fb>222.03</fb>
    <v>12</v>
  </rv>
  <rv s="2">
    <fb>217.95</fb>
    <v>12</v>
  </rv>
  <rv s="2">
    <fb>221.09</fb>
    <v>12</v>
  </rv>
  <rv s="2">
    <fb>224.21</fb>
    <v>12</v>
  </rv>
  <rv s="2">
    <fb>226.97</fb>
    <v>12</v>
  </rv>
  <rv s="2">
    <fb>229.25</fb>
    <v>12</v>
  </rv>
  <rv s="2">
    <fb>230.3</fb>
    <v>12</v>
  </rv>
  <rv s="2">
    <fb>222.86</fb>
    <v>12</v>
  </rv>
  <rv s="2">
    <fb>244.22</fb>
    <v>12</v>
  </rv>
  <rv s="2">
    <fb>254</fb>
    <v>12</v>
  </rv>
  <rv s="2">
    <fb>249.32</fb>
    <v>12</v>
  </rv>
  <rv s="2">
    <fb>250.2</fb>
    <v>12</v>
  </rv>
  <rv s="2">
    <fb>243.04</fb>
    <v>12</v>
  </rv>
  <rv s="2">
    <fb>244.41</fb>
    <v>12</v>
  </rv>
  <rv s="2">
    <fb>248.4</fb>
    <v>12</v>
  </rv>
  <rv s="2">
    <fb>249.1</fb>
    <v>12</v>
  </rv>
  <rv s="2">
    <fb>244.2</fb>
    <v>12</v>
  </rv>
  <rv s="2">
    <fb>237.58</fb>
    <v>12</v>
  </rv>
  <rv s="2">
    <fb>234.69</fb>
    <v>12</v>
  </rv>
  <rv s="2">
    <fb>232.87</fb>
    <v>12</v>
  </rv>
  <rv s="2">
    <fb>222.55</fb>
    <v>12</v>
  </rv>
  <rv s="2">
    <fb>217.14</fb>
    <v>12</v>
  </rv>
  <rv s="2">
    <fb>220.69</fb>
    <v>12</v>
  </rv>
  <rv s="2">
    <fb>226.28</fb>
    <v>12</v>
  </rv>
  <rv s="2">
    <fb>229.67</fb>
    <v>12</v>
  </rv>
  <rv s="2">
    <fb>229.16</fb>
    <v>12</v>
  </rv>
  <rv s="2">
    <fb>233.22</fb>
    <v>12</v>
  </rv>
  <rv s="2">
    <fb>233.88</fb>
    <v>12</v>
  </rv>
  <rv s="2">
    <fb>234.42</fb>
    <v>12</v>
  </rv>
  <rv s="2">
    <fb>232.38</fb>
    <v>12</v>
  </rv>
  <rv s="2">
    <fb>229.11</fb>
    <v>12</v>
  </rv>
  <rv s="2">
    <fb>229.53</fb>
    <v>12</v>
  </rv>
  <rv s="2">
    <fb>226.89</fb>
    <v>12</v>
  </rv>
  <rv s="2">
    <fb>227.92</fb>
    <v>12</v>
  </rv>
  <rv s="2">
    <fb>231.78</fb>
    <v>12</v>
  </rv>
  <rv s="2">
    <fb>230.28</fb>
    <v>12</v>
  </rv>
  <rv s="2">
    <fb>226.19</fb>
    <v>12</v>
  </rv>
  <rv s="2">
    <fb>222.56</fb>
    <v>12</v>
  </rv>
  <rv s="2">
    <fb>221.27</fb>
    <v>12</v>
  </rv>
  <rv s="2">
    <fb>226.76</fb>
    <v>12</v>
  </rv>
  <rv s="2">
    <fb>227.35</fb>
    <v>12</v>
  </rv>
  <rv s="2">
    <fb>228.43</fb>
    <v>12</v>
  </rv>
  <rv s="2">
    <fb>232.14</fb>
    <v>12</v>
  </rv>
  <rv s="2">
    <fb>232.52</fb>
    <v>12</v>
  </rv>
  <rv s="2">
    <fb>232.07</fb>
    <v>12</v>
  </rv>
  <rv s="2">
    <fb>232.53</fb>
    <v>12</v>
  </rv>
  <rv s="2">
    <fb>230.82</fb>
    <v>12</v>
  </rv>
  <rv s="2">
    <fb>226.5</fb>
    <v>12</v>
  </rv>
  <rv s="2">
    <fb>233.06</fb>
    <v>12</v>
  </rv>
  <rv s="2">
    <fb>240.93</fb>
    <v>12</v>
  </rv>
  <rv s="2">
    <fb>241.56</fb>
    <v>12</v>
  </rv>
  <rv s="2">
    <fb>246.29</fb>
    <v>12</v>
  </rv>
  <rv s="2">
    <fb>247.38</fb>
    <v>12</v>
  </rv>
  <rv s="2">
    <fb>246.47</fb>
    <v>12</v>
  </rv>
  <rv s="2">
    <fb>242.6</fb>
    <v>12</v>
  </rv>
  <rv s="2">
    <fb>236.65</fb>
    <v>12</v>
  </rv>
  <rv s="2">
    <fb>238.18</fb>
    <v>12</v>
  </rv>
  <rv s="2">
    <fb>239.12</fb>
    <v>12</v>
  </rv>
  <rv s="2">
    <fb>231</fb>
    <v>12</v>
  </rv>
  <rv s="2">
    <fb>231.31</fb>
    <v>12</v>
  </rv>
  <rv s="2">
    <fb>234.34</fb>
    <v>12</v>
  </rv>
  <rv s="2">
    <fb>239.16</fb>
    <v>12</v>
  </rv>
  <rv s="2">
    <fb>238.42</fb>
    <v>12</v>
  </rv>
  <rv s="2">
    <fb>244.68</fb>
    <v>12</v>
  </rv>
  <rv s="2">
    <fb>243.01</fb>
    <v>12</v>
  </rv>
  <rv s="2">
    <fb>241.73</fb>
    <v>12</v>
  </rv>
  <rv s="2">
    <fb>239.3</fb>
    <v>12</v>
  </rv>
  <rv s="2">
    <fb>242.96</fb>
    <v>12</v>
  </rv>
  <rv s="2">
    <fb>238.62</fb>
    <v>12</v>
  </rv>
  <rv s="2">
    <fb>232.99</fb>
    <v>12</v>
  </rv>
  <rv s="2">
    <fb>210.32</fb>
    <v>12</v>
  </rv>
  <rv s="2">
    <fb>208.72</fb>
    <v>12</v>
  </rv>
  <rv s="2">
    <fb>206.96</fb>
    <v>12</v>
  </rv>
  <rv s="3">
    <v>https://www.bing.com/financeapi/forcetrigger?t=a1nz8m&amp;q=XNAS%3aAVGO&amp;form=skydnc</v>
    <v>Learn more on Bing</v>
  </rv>
  <rv s="4">
    <v>7</v>
    <v>8</v>
    <v>BROADCOM INC. (XNAS:AVGO)</v>
    <v>9</v>
    <v>10</v>
    <v>Finance</v>
    <v>11</v>
    <v>fr-FR</v>
    <v>a1nz8m</v>
    <v>268435456</v>
    <v>1</v>
    <v>Avec Refinitiv</v>
    <v>XNAS</v>
    <v>4741274000</v>
    <v>2018</v>
    <v>339.84</v>
    <v>138.1</v>
    <v>1.2209000000000001</v>
    <v>1614119320560</v>
    <v>Nasdaq Stock Market</v>
    <v>-0.44</v>
    <v>-1.2920000000000002E-3</v>
    <v>343.94</v>
    <v>AVGO</v>
    <v>46064.041618657029</v>
    <v>Broadcom Inc. est une entreprise technologique mondiale qui conçoit, développe et fournit une gamme de semi-conducteurs, de logiciels d'entreprise et de solutions de sécurité. La Société opère dans deux secteurs : les solutions de semi-conducteurs et les logiciels d'infrastructure. Son segment des solutions de semi-conducteurs comprend toutes ses gammes de produits et les licences de propriété intellectuelle (PI). Il fournit une variété de dispositifs semi-conducteurs radiofréquence, des solutions de connectivité sans fil, des contrôleurs tactiles personnalisés et des solutions de charge inductive pour les applications mobiles. Son segment des logiciels d'infrastructure comprend son cloud privé et hybride, le développement et la distribution d'applications, la périphérie définie par logiciel, la mise en réseau et la sécurité d'applications, les solutions mainframe, distribuées et de cybersécurité, ainsi que son activité SAN FC. Il fournit un portefeuille de solutions logicielles qui permettent aux clients de planifier, développer, automatiser, gérer et sécuriser des applications sur des plates-formes mainframe, distribuées, mobiles et cloud.</v>
    <v>USD</v>
    <v>33000</v>
    <v>XNAS</v>
    <v>348.01</v>
    <v>414.61</v>
    <v>Semiconductors &amp; Semiconductor Equipment</v>
    <v>750</v>
    <v>-1.0176000000000001E-2</v>
    <v>-3.5</v>
    <v>BROADCOM INC.</v>
    <v>BROADCOM INC.</v>
    <v>347.47</v>
    <v>71.371099999999998</v>
    <v>340.44</v>
    <v>340</v>
    <v>3421 Hillview Avenue, PALO ALTO, CA, 94304 US</v>
    <v>Bourse</v>
    <v>BROADCOM INC. (XNAS:AVGO)</v>
    <v>19542682</v>
    <v>27711435</v>
  </rv>
  <rv s="1">
    <v>751</v>
  </rv>
  <rv s="2">
    <fb>235.04</fb>
    <v>12</v>
  </rv>
  <rv s="2">
    <fb>236.35</fb>
    <v>12</v>
  </rv>
  <rv s="2">
    <fb>235.8</fb>
    <v>12</v>
  </rv>
  <rv s="2">
    <fb>233.04</fb>
    <v>12</v>
  </rv>
  <rv s="2">
    <fb>228.53</fb>
    <v>12</v>
  </rv>
  <rv s="2">
    <fb>228.73</fb>
    <v>12</v>
  </rv>
  <rv s="2">
    <fb>226.74</fb>
    <v>12</v>
  </rv>
  <rv s="2">
    <fb>218.66</fb>
    <v>12</v>
  </rv>
  <rv s="2">
    <fb>207.93</fb>
    <v>12</v>
  </rv>
  <rv s="2">
    <fb>202.54</fb>
    <v>12</v>
  </rv>
  <rv s="2">
    <fb>212.94</fb>
    <v>12</v>
  </rv>
  <rv s="2">
    <fb>197.8</fb>
    <v>12</v>
  </rv>
  <rv s="2">
    <fb>199.43</fb>
    <v>12</v>
  </rv>
  <rv s="2">
    <fb>187.37</fb>
    <v>12</v>
  </rv>
  <rv s="2">
    <fb>187.48</fb>
    <v>12</v>
  </rv>
  <rv s="2">
    <fb>191.58</fb>
    <v>12</v>
  </rv>
  <rv s="2">
    <fb>179.45</fb>
    <v>12</v>
  </rv>
  <rv s="2">
    <fb>194.96</fb>
    <v>12</v>
  </rv>
  <rv s="2">
    <fb>184.45</fb>
    <v>12</v>
  </rv>
  <rv s="2">
    <fb>190.09</fb>
    <v>12</v>
  </rv>
  <rv s="2">
    <fb>194.23</fb>
    <v>12</v>
  </rv>
  <rv s="2">
    <fb>191.36</fb>
    <v>12</v>
  </rv>
  <rv s="2">
    <fb>194.5</fb>
    <v>12</v>
  </rv>
  <rv s="2">
    <fb>188.67</fb>
    <v>12</v>
  </rv>
  <rv s="2">
    <fb>195.57</fb>
    <v>12</v>
  </rv>
  <rv s="2">
    <fb>190.54</fb>
    <v>12</v>
  </rv>
  <rv s="2">
    <fb>191.66</fb>
    <v>12</v>
  </rv>
  <rv s="2">
    <fb>191.25</fb>
    <v>12</v>
  </rv>
  <rv s="2">
    <fb>188.26</fb>
    <v>12</v>
  </rv>
  <rv s="2">
    <fb>179.27</fb>
    <v>12</v>
  </rv>
  <rv s="2">
    <fb>171.99</fb>
    <v>12</v>
  </rv>
  <rv s="2">
    <fb>169.12</fb>
    <v>12</v>
  </rv>
  <rv s="2">
    <fb>168.52</fb>
    <v>12</v>
  </rv>
  <rv s="2">
    <fb>172.09</fb>
    <v>12</v>
  </rv>
  <rv s="2">
    <fb>154.01</fb>
    <v>12</v>
  </rv>
  <rv s="2">
    <fb>146.29</fb>
    <v>12</v>
  </rv>
  <rv s="2">
    <fb>154.13999999999999</fb>
    <v>12</v>
  </rv>
  <rv s="2">
    <fb>156.03</fb>
    <v>12</v>
  </rv>
  <rv s="2">
    <fb>185.15</fb>
    <v>12</v>
  </rv>
  <rv s="2">
    <fb>172.3</fb>
    <v>12</v>
  </rv>
  <rv s="2">
    <fb>181.94</fb>
    <v>12</v>
  </rv>
  <rv s="2">
    <fb>178.36</fb>
    <v>12</v>
  </rv>
  <rv s="2">
    <fb>178.95</fb>
    <v>12</v>
  </rv>
  <rv s="2">
    <fb>174.61</fb>
    <v>12</v>
  </rv>
  <rv s="2">
    <fb>170.99</fb>
    <v>12</v>
  </rv>
  <rv s="2">
    <fb>166.21</fb>
    <v>12</v>
  </rv>
  <rv s="2">
    <fb>169.58</fb>
    <v>12</v>
  </rv>
  <rv s="2">
    <fb>188.15</fb>
    <v>12</v>
  </rv>
  <rv s="2">
    <fb>192.31</fb>
    <v>12</v>
  </rv>
  <rv s="2">
    <fb>192.47</fb>
    <v>12</v>
  </rv>
  <rv s="2">
    <fb>191.17</fb>
    <v>12</v>
  </rv>
  <rv s="2">
    <fb>197.33</fb>
    <v>12</v>
  </rv>
  <rv s="2">
    <fb>203.64</fb>
    <v>12</v>
  </rv>
  <rv s="2">
    <fb>200.72</fb>
    <v>12</v>
  </rv>
  <rv s="2">
    <fb>200.09</fb>
    <v>12</v>
  </rv>
  <rv s="2">
    <fb>204.81</fb>
    <v>12</v>
  </rv>
  <rv s="2">
    <fb>207.77</fb>
    <v>12</v>
  </rv>
  <rv s="2">
    <fb>208.2</fb>
    <v>12</v>
  </rv>
  <rv s="2">
    <fb>221.58</fb>
    <v>12</v>
  </rv>
  <rv s="2">
    <fb>232.42</fb>
    <v>12</v>
  </rv>
  <rv s="2">
    <fb>232.12</fb>
    <v>12</v>
  </rv>
  <rv s="2">
    <fb>232.64</fb>
    <v>12</v>
  </rv>
  <rv s="2">
    <fb>228.61</fb>
    <v>12</v>
  </rv>
  <rv s="2">
    <fb>230.63</fb>
    <v>12</v>
  </rv>
  <rv s="2">
    <fb>231.68</fb>
    <v>12</v>
  </rv>
  <rv s="2">
    <fb>229.73</fb>
    <v>12</v>
  </rv>
  <rv s="2">
    <fb>230.53</fb>
    <v>12</v>
  </rv>
  <rv s="2">
    <fb>228.72</fb>
    <v>12</v>
  </rv>
  <rv s="2">
    <fb>235.65</fb>
    <v>12</v>
  </rv>
  <rv s="2">
    <fb>239.43</fb>
    <v>12</v>
  </rv>
  <rv s="2">
    <fb>241.97</fb>
    <v>12</v>
  </rv>
  <rv s="2">
    <fb>242.07</fb>
    <v>12</v>
  </rv>
  <rv s="2">
    <fb>248.71</fb>
    <v>12</v>
  </rv>
  <rv s="2">
    <fb>256.85000000000002</fb>
    <v>12</v>
  </rv>
  <rv s="2">
    <fb>261.08</fb>
    <v>12</v>
  </rv>
  <rv s="2">
    <fb>259.93</fb>
    <v>12</v>
  </rv>
  <rv s="2">
    <fb>246.93</fb>
    <v>12</v>
  </rv>
  <rv s="2">
    <fb>244.28</fb>
    <v>12</v>
  </rv>
  <rv s="2">
    <fb>244.63</fb>
    <v>12</v>
  </rv>
  <rv s="2">
    <fb>252.91</fb>
    <v>12</v>
  </rv>
  <rv s="2">
    <fb>256.07</fb>
    <v>12</v>
  </rv>
  <rv s="2">
    <fb>248.7</fb>
    <v>12</v>
  </rv>
  <rv s="2">
    <fb>252.1</fb>
    <v>12</v>
  </rv>
  <rv s="2">
    <fb>249.37</fb>
    <v>12</v>
  </rv>
  <rv s="2">
    <fb>251.26</fb>
    <v>12</v>
  </rv>
  <rv s="2">
    <fb>249.99</fb>
    <v>12</v>
  </rv>
  <rv s="2">
    <fb>253.77</fb>
    <v>12</v>
  </rv>
  <rv s="2">
    <fb>263.77</fb>
    <v>12</v>
  </rv>
  <rv s="2">
    <fb>264.64999999999998</fb>
    <v>12</v>
  </rv>
  <rv s="2">
    <fb>270.17</fb>
    <v>12</v>
  </rv>
  <rv s="2">
    <fb>269.35000000000002</fb>
    <v>12</v>
  </rv>
  <rv s="2">
    <fb>275.64999999999998</fb>
    <v>12</v>
  </rv>
  <rv s="2">
    <fb>264.74</fb>
    <v>12</v>
  </rv>
  <rv s="2">
    <fb>269.89999999999998</fb>
    <v>12</v>
  </rv>
  <rv s="2">
    <fb>275.18</fb>
    <v>12</v>
  </rv>
  <rv s="2">
    <fb>274.18</fb>
    <v>12</v>
  </rv>
  <rv s="2">
    <fb>271.8</fb>
    <v>12</v>
  </rv>
  <rv s="2">
    <fb>277.89999999999998</fb>
    <v>12</v>
  </rv>
  <rv s="2">
    <fb>275.39999999999998</fb>
    <v>12</v>
  </rv>
  <rv s="2">
    <fb>274.38</fb>
    <v>12</v>
  </rv>
  <rv s="2">
    <fb>275.60000000000002</fb>
    <v>12</v>
  </rv>
  <rv s="2">
    <fb>280.94</fb>
    <v>12</v>
  </rv>
  <rv s="2">
    <fb>280.81</fb>
    <v>12</v>
  </rv>
  <rv s="2">
    <fb>286.45</fb>
    <v>12</v>
  </rv>
  <rv s="2">
    <fb>283.33999999999997</fb>
    <v>12</v>
  </rv>
  <rv s="2">
    <fb>288.20999999999998</fb>
    <v>12</v>
  </rv>
  <rv s="2">
    <fb>278.58999999999997</fb>
    <v>12</v>
  </rv>
  <rv s="2">
    <fb>283.69</fb>
    <v>12</v>
  </rv>
  <rv s="2">
    <fb>288.70999999999998</fb>
    <v>12</v>
  </rv>
  <rv s="2">
    <fb>290.18</fb>
    <v>12</v>
  </rv>
  <rv s="2">
    <fb>294.3</fb>
    <v>12</v>
  </rv>
  <rv s="2">
    <fb>297.42</fb>
    <v>12</v>
  </rv>
  <rv s="2">
    <fb>302.62</fb>
    <v>12</v>
  </rv>
  <rv s="2">
    <fb>293.7</fb>
    <v>12</v>
  </rv>
  <rv s="2">
    <fb>288.64</fb>
    <v>12</v>
  </rv>
  <rv s="2">
    <fb>297.72000000000003</fb>
    <v>12</v>
  </rv>
  <rv s="2">
    <fb>292.93</fb>
    <v>12</v>
  </rv>
  <rv s="2">
    <fb>301.67</fb>
    <v>12</v>
  </rv>
  <rv s="2">
    <fb>303.76</fb>
    <v>12</v>
  </rv>
  <rv s="2">
    <fb>304.97000000000003</fb>
    <v>12</v>
  </rv>
  <rv s="2">
    <fb>303.89999999999998</fb>
    <v>12</v>
  </rv>
  <rv s="2">
    <fb>312.83</fb>
    <v>12</v>
  </rv>
  <rv s="2">
    <fb>309.08999999999997</fb>
    <v>12</v>
  </rv>
  <rv s="2">
    <fb>311.23</fb>
    <v>12</v>
  </rv>
  <rv s="2">
    <fb>306.33999999999997</fb>
    <v>12</v>
  </rv>
  <rv s="2">
    <fb>305.76</fb>
    <v>12</v>
  </rv>
  <rv s="2">
    <fb>294.91000000000003</fb>
    <v>12</v>
  </rv>
  <rv s="2">
    <fb>291.17</fb>
    <v>12</v>
  </rv>
  <rv s="2">
    <fb>289.60000000000002</fb>
    <v>12</v>
  </rv>
  <rv s="2">
    <fb>294</fb>
    <v>12</v>
  </rv>
  <rv s="2">
    <fb>294.23</fb>
    <v>12</v>
  </rv>
  <rv s="2">
    <fb>298.01</fb>
    <v>12</v>
  </rv>
  <rv s="2">
    <fb>300.25</fb>
    <v>12</v>
  </rv>
  <rv s="2">
    <fb>308.64999999999998</fb>
    <v>12</v>
  </rv>
  <rv s="2">
    <fb>297.39</fb>
    <v>12</v>
  </rv>
  <rv s="2">
    <fb>298.24</fb>
    <v>12</v>
  </rv>
  <rv s="2">
    <fb>302.39</fb>
    <v>12</v>
  </rv>
  <rv s="2">
    <fb>306.10000000000002</fb>
    <v>12</v>
  </rv>
  <rv s="2">
    <fb>334.89</fb>
    <v>12</v>
  </rv>
  <rv s="2">
    <fb>345.65</fb>
    <v>12</v>
  </rv>
  <rv s="2">
    <fb>336.67</fb>
    <v>12</v>
  </rv>
  <rv s="2">
    <fb>369.57</fb>
    <v>12</v>
  </rv>
  <rv s="2">
    <fb>359.63</fb>
    <v>12</v>
  </rv>
  <rv s="2">
    <fb>359.87</fb>
    <v>12</v>
  </rv>
  <rv s="2">
    <fb>364.09</fb>
    <v>12</v>
  </rv>
  <rv s="2">
    <fb>360</fb>
    <v>12</v>
  </rv>
  <rv s="2">
    <fb>346.17</fb>
    <v>12</v>
  </rv>
  <rv s="2">
    <fb>345.35</fb>
    <v>12</v>
  </rv>
  <rv s="2">
    <fb>344.94</fb>
    <v>12</v>
  </rv>
  <rv s="2">
    <fb>338.79</fb>
    <v>12</v>
  </rv>
  <rv s="2">
    <fb>338.94</fb>
    <v>12</v>
  </rv>
  <rv s="2">
    <fb>339.31</fb>
    <v>12</v>
  </rv>
  <rv s="2">
    <fb>336.1</fb>
    <v>12</v>
  </rv>
  <rv s="2">
    <fb>334.53</fb>
    <v>12</v>
  </rv>
  <rv s="2">
    <fb>327.9</fb>
    <v>12</v>
  </rv>
  <rv s="2">
    <fb>329.91</fb>
    <v>12</v>
  </rv>
  <rv s="2">
    <fb>333.39</fb>
    <v>12</v>
  </rv>
  <rv s="2">
    <fb>338.18</fb>
    <v>12</v>
  </rv>
  <rv s="2">
    <fb>338.37</fb>
    <v>12</v>
  </rv>
  <rv s="2">
    <fb>335.49</fb>
    <v>12</v>
  </rv>
  <rv s="2">
    <fb>336.41</fb>
    <v>12</v>
  </rv>
  <rv s="2">
    <fb>345.5</fb>
    <v>12</v>
  </rv>
  <rv s="2">
    <fb>345.02</fb>
    <v>12</v>
  </rv>
  <rv s="2">
    <fb>324.63</fb>
    <v>12</v>
  </rv>
  <rv s="2">
    <fb>356.7</fb>
    <v>12</v>
  </rv>
  <rv s="2">
    <fb>344.13</fb>
    <v>12</v>
  </rv>
  <rv s="2">
    <fb>351.33</fb>
    <v>12</v>
  </rv>
  <rv s="2">
    <fb>354.15</fb>
    <v>12</v>
  </rv>
  <rv s="2">
    <fb>349.33</fb>
    <v>12</v>
  </rv>
  <rv s="2">
    <fb>349.24</fb>
    <v>12</v>
  </rv>
  <rv s="2">
    <fb>342.66</fb>
    <v>12</v>
  </rv>
  <rv s="2">
    <fb>340.3</fb>
    <v>12</v>
  </rv>
  <rv s="2">
    <fb>344.29</fb>
    <v>12</v>
  </rv>
  <rv s="2">
    <fb>354.13</fb>
    <v>12</v>
  </rv>
  <rv s="2">
    <fb>362.05</fb>
    <v>12</v>
  </rv>
  <rv s="2">
    <fb>372.97</fb>
    <v>12</v>
  </rv>
  <rv s="2">
    <fb>385.98</fb>
    <v>12</v>
  </rv>
  <rv s="2">
    <fb>376.47</fb>
    <v>12</v>
  </rv>
  <rv s="2">
    <fb>369.63</fb>
    <v>12</v>
  </rv>
  <rv s="2">
    <fb>362.55</fb>
    <v>12</v>
  </rv>
  <rv s="2">
    <fb>351.94</fb>
    <v>12</v>
  </rv>
  <rv s="2">
    <fb>358.98</fb>
    <v>12</v>
  </rv>
  <rv s="2">
    <fb>355.59</fb>
    <v>12</v>
  </rv>
  <rv s="2">
    <fb>349.43</fb>
    <v>12</v>
  </rv>
  <rv s="2">
    <fb>358.39</fb>
    <v>12</v>
  </rv>
  <rv s="2">
    <fb>351.96</fb>
    <v>12</v>
  </rv>
  <rv s="2">
    <fb>355.22</fb>
    <v>12</v>
  </rv>
  <rv s="2">
    <fb>339.98</fb>
    <v>12</v>
  </rv>
  <rv s="2">
    <fb>342.46</fb>
    <v>12</v>
  </rv>
  <rv s="2">
    <fb>342.65</fb>
    <v>12</v>
  </rv>
  <rv s="2">
    <fb>340.5</fb>
    <v>12</v>
  </rv>
  <rv s="2">
    <fb>354.42</fb>
    <v>12</v>
  </rv>
  <rv s="2">
    <fb>346.82</fb>
    <v>12</v>
  </rv>
  <rv s="2">
    <fb>340.2</fb>
    <v>12</v>
  </rv>
  <rv s="2">
    <fb>377.96</fb>
    <v>12</v>
  </rv>
  <rv s="2">
    <fb>385.03</fb>
    <v>12</v>
  </rv>
  <rv s="2">
    <fb>397.57</fb>
    <v>12</v>
  </rv>
  <rv s="2">
    <fb>402.96</fb>
    <v>12</v>
  </rv>
  <rv s="2">
    <fb>386.08</fb>
    <v>12</v>
  </rv>
  <rv s="2">
    <fb>381.57</fb>
    <v>12</v>
  </rv>
  <rv s="2">
    <fb>380.61</fb>
    <v>12</v>
  </rv>
  <rv s="2">
    <fb>381.03</fb>
    <v>12</v>
  </rv>
  <rv s="2">
    <fb>390.24</fb>
    <v>12</v>
  </rv>
  <rv s="2">
    <fb>401.1</fb>
    <v>12</v>
  </rv>
  <rv s="2">
    <fb>406.29</fb>
    <v>12</v>
  </rv>
  <rv s="2">
    <fb>412.97</fb>
    <v>12</v>
  </rv>
  <rv s="2">
    <fb>406.37</fb>
    <v>12</v>
  </rv>
  <rv s="2">
    <fb>359.93</fb>
    <v>12</v>
  </rv>
  <rv s="2">
    <fb>339.81</fb>
    <v>12</v>
  </rv>
  <rv s="2">
    <fb>341.3</fb>
    <v>12</v>
  </rv>
  <rv s="2">
    <fb>326.02</fb>
    <v>12</v>
  </rv>
  <rv s="2">
    <fb>329.88</fb>
    <v>12</v>
  </rv>
  <rv s="2">
    <fb>340.36</fb>
    <v>12</v>
  </rv>
  <rv s="2">
    <fb>341.45</fb>
    <v>12</v>
  </rv>
  <rv s="2">
    <fb>349.32</fb>
    <v>12</v>
  </rv>
  <rv s="2">
    <fb>350.22</fb>
    <v>12</v>
  </rv>
  <rv s="2">
    <fb>352.13</fb>
    <v>12</v>
  </rv>
  <rv s="2">
    <fb>349.39</fb>
    <v>12</v>
  </rv>
  <rv s="2">
    <fb>349.85</fb>
    <v>12</v>
  </rv>
  <rv s="2">
    <fb>346.1</fb>
    <v>12</v>
  </rv>
  <rv s="2">
    <fb>347.62</fb>
    <v>12</v>
  </rv>
  <rv s="2">
    <fb>343.42</fb>
    <v>12</v>
  </rv>
  <rv s="2">
    <fb>343.77</fb>
    <v>12</v>
  </rv>
  <rv s="2">
    <fb>343.5</fb>
    <v>12</v>
  </rv>
  <rv s="2">
    <fb>332.48</fb>
    <v>12</v>
  </rv>
  <rv s="2">
    <fb>344.97</fb>
    <v>12</v>
  </rv>
  <rv s="2">
    <fb>352.21</fb>
    <v>12</v>
  </rv>
  <rv s="2">
    <fb>354.61</fb>
    <v>12</v>
  </rv>
  <rv s="2">
    <fb>339.89</fb>
    <v>12</v>
  </rv>
  <rv s="2">
    <fb>343.02</fb>
    <v>12</v>
  </rv>
  <rv s="2">
    <fb>351.71</fb>
    <v>12</v>
  </rv>
  <rv s="2">
    <fb>332.6</fb>
    <v>12</v>
  </rv>
  <rv s="2">
    <fb>328.8</fb>
    <v>12</v>
  </rv>
  <rv s="2">
    <fb>325.49</fb>
    <v>12</v>
  </rv>
  <rv s="2">
    <fb>320.05</fb>
    <v>12</v>
  </rv>
  <rv s="2">
    <fb>324.85000000000002</fb>
    <v>12</v>
  </rv>
  <rv s="2">
    <fb>332.79</fb>
    <v>12</v>
  </rv>
  <rv s="2">
    <fb>333.24</fb>
    <v>12</v>
  </rv>
  <rv s="2">
    <fb>330.73</fb>
    <v>12</v>
  </rv>
  <rv s="2">
    <fb>331.3</fb>
    <v>12</v>
  </rv>
  <rv s="2">
    <fb>331.11</fb>
    <v>12</v>
  </rv>
  <rv s="2">
    <fb>320.33</fb>
    <v>12</v>
  </rv>
  <rv s="2">
    <fb>308.05</fb>
    <v>12</v>
  </rv>
  <rv s="2">
    <fb>310.51</fb>
    <v>12</v>
  </rv>
  <rv s="2">
    <fb>332.92</fb>
    <v>12</v>
  </rv>
  <rv s="2">
    <fb>343.94</fb>
    <v>12</v>
  </rv>
  <rv s="2">
    <fb>340.44</fb>
    <v>12</v>
  </rv>
  <rv s="3">
    <v>https://www.bing.com/financeapi/forcetrigger?t=aflhlh&amp;q=XFRA%3aSXR8&amp;form=skydnc</v>
    <v>Learn more on Bing</v>
  </rv>
  <rv s="5">
    <v>13</v>
    <v>14</v>
    <v>iShs Cr S&amp;P 500 ETF USD A (XFRA:SXR8)</v>
    <v>15</v>
    <v>16</v>
    <v>Finance</v>
    <v>17</v>
    <v>fr-FR</v>
    <v>aflhlh</v>
    <v>268435456</v>
    <v>1</v>
    <v>Avec Refinitiv</v>
    <v>XFRA</v>
    <v>626.94000000000005</v>
    <v>199.74</v>
    <v>135574702136.89</v>
    <v>Deutsche Boerse AG</v>
    <v>627.70000000000005</v>
    <v>SXR8</v>
    <v>46063.878472222219</v>
    <v>EUR</v>
    <v>628.66</v>
    <v>644.24</v>
    <v>1000</v>
    <v>-1.2110000000000001E-3</v>
    <v>-0.76</v>
    <v>iShs Cr S&amp;P 500 ETF USD A</v>
    <v>627.5</v>
    <v>626.94000000000005</v>
    <v>7.000000000000001E-4</v>
    <v>Fonds coté en bourse</v>
    <v>iShs Cr S&amp;P 500 ETF USD A (XFRA:SXR8)</v>
    <v>64</v>
  </rv>
  <rv s="1">
    <v>1001</v>
  </rv>
  <rv s="2">
    <fb>622.5</fb>
    <v>18</v>
  </rv>
  <rv s="2">
    <fb>618.52</fb>
    <v>18</v>
  </rv>
  <rv s="2">
    <fb>620.08000000000004</fb>
    <v>18</v>
  </rv>
  <rv s="2">
    <fb>617.91999999999996</fb>
    <v>18</v>
  </rv>
  <rv s="2">
    <fb>621.08000000000004</fb>
    <v>18</v>
  </rv>
  <rv s="2">
    <fb>621.84</fb>
    <v>18</v>
  </rv>
  <rv s="2">
    <fb>626.14</fb>
    <v>18</v>
  </rv>
  <rv s="2">
    <fb>617.54</fb>
    <v>18</v>
  </rv>
  <rv s="2">
    <fb>613.28</fb>
    <v>18</v>
  </rv>
  <rv s="2">
    <fb>610.41999999999996</fb>
    <v>18</v>
  </rv>
  <rv s="2">
    <fb>602.36</fb>
    <v>18</v>
  </rv>
  <rv s="2">
    <fb>602.28</fb>
    <v>18</v>
  </rv>
  <rv s="2">
    <fb>600</fb>
    <v>18</v>
  </rv>
  <rv s="2">
    <fb>600.02</fb>
    <v>18</v>
  </rv>
  <rv s="2">
    <fb>591.82000000000005</fb>
    <v>18</v>
  </rv>
  <rv s="2">
    <fb>583.41999999999996</fb>
    <v>18</v>
  </rv>
  <rv s="2">
    <fb>575.96</fb>
    <v>18</v>
  </rv>
  <rv s="2">
    <fb>564.58000000000004</fb>
    <v>18</v>
  </rv>
  <rv s="2">
    <fb>565.24</fb>
    <v>18</v>
  </rv>
  <rv s="2">
    <fb>551.34</fb>
    <v>18</v>
  </rv>
  <rv s="2">
    <fb>544.20000000000005</fb>
    <v>18</v>
  </rv>
  <rv s="2">
    <fb>545.72</fb>
    <v>18</v>
  </rv>
  <rv s="2">
    <fb>540.58000000000004</fb>
    <v>18</v>
  </rv>
  <rv s="2">
    <fb>550.02</fb>
    <v>18</v>
  </rv>
  <rv s="2">
    <fb>552.62</fb>
    <v>18</v>
  </rv>
  <rv s="2">
    <fb>546.08000000000004</fb>
    <v>18</v>
  </rv>
  <rv s="2">
    <fb>553.94000000000005</fb>
    <v>18</v>
  </rv>
  <rv s="2">
    <fb>553.88</fb>
    <v>18</v>
  </rv>
  <rv s="2">
    <fb>554.94000000000005</fb>
    <v>18</v>
  </rv>
  <rv s="2">
    <fb>566.17999999999995</fb>
    <v>18</v>
  </rv>
  <rv s="2">
    <fb>569.62</fb>
    <v>18</v>
  </rv>
  <rv s="2">
    <fb>564.34</fb>
    <v>18</v>
  </rv>
  <rv s="2">
    <fb>562.1</fb>
    <v>18</v>
  </rv>
  <rv s="2">
    <fb>548</fb>
    <v>18</v>
  </rv>
  <rv s="2">
    <fb>549.91999999999996</fb>
    <v>18</v>
  </rv>
  <rv s="2">
    <fb>552.96</fb>
    <v>18</v>
  </rv>
  <rv s="2">
    <fb>552.55999999999995</fb>
    <v>18</v>
  </rv>
  <rv s="2">
    <fb>521.46</fb>
    <v>18</v>
  </rv>
  <rv s="2">
    <fb>498.32</fb>
    <v>18</v>
  </rv>
  <rv s="2">
    <fb>495.52</fb>
    <v>18</v>
  </rv>
  <rv s="2">
    <fb>483.06</fb>
    <v>18</v>
  </rv>
  <rv s="2">
    <fb>532.32000000000005</fb>
    <v>18</v>
  </rv>
  <rv s="2">
    <fb>500.3</fb>
    <v>18</v>
  </rv>
  <rv s="2">
    <fb>502.84</fb>
    <v>18</v>
  </rv>
  <rv s="2">
    <fb>507.88</fb>
    <v>18</v>
  </rv>
  <rv s="2">
    <fb>509.84</fb>
    <v>18</v>
  </rv>
  <rv s="2">
    <fb>497.58</fb>
    <v>18</v>
  </rv>
  <rv s="2">
    <fb>498.87</fb>
    <v>18</v>
  </rv>
  <rv s="2">
    <fb>487.83</fb>
    <v>18</v>
  </rv>
  <rv s="2">
    <fb>503.66</fb>
    <v>18</v>
  </rv>
  <rv s="2">
    <fb>511.94</fb>
    <v>18</v>
  </rv>
  <rv s="2">
    <fb>516.82000000000005</fb>
    <v>18</v>
  </rv>
  <rv s="2">
    <fb>515.88</fb>
    <v>18</v>
  </rv>
  <rv s="2">
    <fb>517.55999999999995</fb>
    <v>18</v>
  </rv>
  <rv s="2">
    <fb>518.05999999999995</fb>
    <v>18</v>
  </rv>
  <rv s="2">
    <fb>534.26</fb>
    <v>18</v>
  </rv>
  <rv s="2">
    <fb>534.46</fb>
    <v>18</v>
  </rv>
  <rv s="2">
    <fb>524.34</fb>
    <v>18</v>
  </rv>
  <rv s="2">
    <fb>527.79999999999995</fb>
    <v>18</v>
  </rv>
  <rv s="2">
    <fb>541.24</fb>
    <v>18</v>
  </rv>
  <rv s="2">
    <fb>534.58000000000004</fb>
    <v>18</v>
  </rv>
  <rv s="2">
    <fb>560.29999999999995</fb>
    <v>18</v>
  </rv>
  <rv s="2">
    <fb>561.55999999999995</fb>
    <v>18</v>
  </rv>
  <rv s="2">
    <fb>560.76</fb>
    <v>18</v>
  </rv>
  <rv s="2">
    <fb>563.94000000000005</fb>
    <v>18</v>
  </rv>
  <rv s="2">
    <fb>568.08000000000004</fb>
    <v>18</v>
  </rv>
  <rv s="2">
    <fb>565.54</fb>
    <v>18</v>
  </rv>
  <rv s="2">
    <fb>562.22</fb>
    <v>18</v>
  </rv>
  <rv s="2">
    <fb>548.66</fb>
    <v>18</v>
  </rv>
  <rv s="2">
    <fb>554</fb>
    <v>18</v>
  </rv>
  <rv s="2">
    <fb>544.98</fb>
    <v>18</v>
  </rv>
  <rv s="2">
    <fb>549.94000000000005</fb>
    <v>18</v>
  </rv>
  <rv s="2">
    <fb>555.54</fb>
    <v>18</v>
  </rv>
  <rv s="2">
    <fb>557.46</fb>
    <v>18</v>
  </rv>
  <rv s="2">
    <fb>553.54</fb>
    <v>18</v>
  </rv>
  <rv s="2">
    <fb>550.38</fb>
    <v>18</v>
  </rv>
  <rv s="2">
    <fb>552.29999999999995</fb>
    <v>18</v>
  </rv>
  <rv s="2">
    <fb>559.72</fb>
    <v>18</v>
  </rv>
  <rv s="2">
    <fb>557.52</fb>
    <v>18</v>
  </rv>
  <rv s="2">
    <fb>556.17999999999995</fb>
    <v>18</v>
  </rv>
  <rv s="2">
    <fb>560.64</fb>
    <v>18</v>
  </rv>
  <rv s="2">
    <fb>561.05999999999995</fb>
    <v>18</v>
  </rv>
  <rv s="2">
    <fb>562.58000000000004</fb>
    <v>18</v>
  </rv>
  <rv s="2">
    <fb>559.34</fb>
    <v>18</v>
  </rv>
  <rv s="2">
    <fb>556.22</fb>
    <v>18</v>
  </rv>
  <rv s="2">
    <fb>554.05999999999995</fb>
    <v>18</v>
  </rv>
  <rv s="2">
    <fb>555.94000000000005</fb>
    <v>18</v>
  </rv>
  <rv s="2">
    <fb>555.96</fb>
    <v>18</v>
  </rv>
  <rv s="2">
    <fb>555.48</fb>
    <v>18</v>
  </rv>
  <rv s="2">
    <fb>551.76</fb>
    <v>18</v>
  </rv>
  <rv s="2">
    <fb>551.64</fb>
    <v>18</v>
  </rv>
  <rv s="2">
    <fb>554.41999999999996</fb>
    <v>18</v>
  </rv>
  <rv s="2">
    <fb>559.91999999999996</fb>
    <v>18</v>
  </rv>
  <rv s="2">
    <fb>558.12</fb>
    <v>18</v>
  </rv>
  <rv s="2">
    <fb>557.84</fb>
    <v>18</v>
  </rv>
  <rv s="2">
    <fb>562.17999999999995</fb>
    <v>18</v>
  </rv>
  <rv s="2">
    <fb>560.24</fb>
    <v>18</v>
  </rv>
  <rv s="2">
    <fb>561.67999999999995</fb>
    <v>18</v>
  </rv>
  <rv s="2">
    <fb>562.02</fb>
    <v>18</v>
  </rv>
  <rv s="2">
    <fb>568.79999999999995</fb>
    <v>18</v>
  </rv>
  <rv s="2">
    <fb>564.79999999999995</fb>
    <v>18</v>
  </rv>
  <rv s="2">
    <fb>566.86</fb>
    <v>18</v>
  </rv>
  <rv s="2">
    <fb>566.62</fb>
    <v>18</v>
  </rv>
  <rv s="2">
    <fb>569.17999999999995</fb>
    <v>18</v>
  </rv>
  <rv s="2">
    <fb>573.48</fb>
    <v>18</v>
  </rv>
  <rv s="2">
    <fb>571.6</fb>
    <v>18</v>
  </rv>
  <rv s="2">
    <fb>572.96</fb>
    <v>18</v>
  </rv>
  <rv s="2">
    <fb>575</fb>
    <v>18</v>
  </rv>
  <rv s="2">
    <fb>572.28</fb>
    <v>18</v>
  </rv>
  <rv s="2">
    <fb>579.14</fb>
    <v>18</v>
  </rv>
  <rv s="2">
    <fb>577.54</fb>
    <v>18</v>
  </rv>
  <rv s="2">
    <fb>578.05999999999995</fb>
    <v>18</v>
  </rv>
  <rv s="2">
    <fb>573</fb>
    <v>18</v>
  </rv>
  <rv s="2">
    <fb>575.79999999999995</fb>
    <v>18</v>
  </rv>
  <rv s="2">
    <fb>577.88</fb>
    <v>18</v>
  </rv>
  <rv s="2">
    <fb>581.14</fb>
    <v>18</v>
  </rv>
  <rv s="2">
    <fb>587.34</fb>
    <v>18</v>
  </rv>
  <rv s="2">
    <fb>589.12</fb>
    <v>18</v>
  </rv>
  <rv s="2">
    <fb>593.08000000000004</fb>
    <v>18</v>
  </rv>
  <rv s="2">
    <fb>594.58000000000004</fb>
    <v>18</v>
  </rv>
  <rv s="2">
    <fb>576.64</fb>
    <v>18</v>
  </rv>
  <rv s="2">
    <fb>583.22</fb>
    <v>18</v>
  </rv>
  <rv s="2">
    <fb>581.34</fb>
    <v>18</v>
  </rv>
  <rv s="2">
    <fb>580.96</fb>
    <v>18</v>
  </rv>
  <rv s="2">
    <fb>579.66</fb>
    <v>18</v>
  </rv>
  <rv s="2">
    <fb>585.08000000000004</fb>
    <v>18</v>
  </rv>
  <rv s="2">
    <fb>585.29999999999995</fb>
    <v>18</v>
  </rv>
  <rv s="2">
    <fb>588.98</fb>
    <v>18</v>
  </rv>
  <rv s="2">
    <fb>588.86</fb>
    <v>18</v>
  </rv>
  <rv s="2">
    <fb>589.08000000000004</fb>
    <v>18</v>
  </rv>
  <rv s="2">
    <fb>589.58000000000004</fb>
    <v>18</v>
  </rv>
  <rv s="2">
    <fb>587.6</fb>
    <v>18</v>
  </rv>
  <rv s="2">
    <fb>585.96</fb>
    <v>18</v>
  </rv>
  <rv s="2">
    <fb>584.32000000000005</fb>
    <v>18</v>
  </rv>
  <rv s="2">
    <fb>588.74</fb>
    <v>18</v>
  </rv>
  <rv s="2">
    <fb>593.05999999999995</fb>
    <v>18</v>
  </rv>
  <rv s="2">
    <fb>591.28</fb>
    <v>18</v>
  </rv>
  <rv s="2">
    <fb>594.38</fb>
    <v>18</v>
  </rv>
  <rv s="2">
    <fb>594.52</fb>
    <v>18</v>
  </rv>
  <rv s="2">
    <fb>588.9</fb>
    <v>18</v>
  </rv>
  <rv s="2">
    <fb>590.36</fb>
    <v>18</v>
  </rv>
  <rv s="2">
    <fb>586.34</fb>
    <v>18</v>
  </rv>
  <rv s="2">
    <fb>588.5</fb>
    <v>18</v>
  </rv>
  <rv s="2">
    <fb>594.74</fb>
    <v>18</v>
  </rv>
  <rv s="2">
    <fb>589.84</fb>
    <v>18</v>
  </rv>
  <rv s="2">
    <fb>592.86</fb>
    <v>18</v>
  </rv>
  <rv s="2">
    <fb>596.16</fb>
    <v>18</v>
  </rv>
  <rv s="2">
    <fb>599.34</fb>
    <v>18</v>
  </rv>
  <rv s="2">
    <fb>599.94000000000005</fb>
    <v>18</v>
  </rv>
  <rv s="2">
    <fb>599.86</fb>
    <v>18</v>
  </rv>
  <rv s="2">
    <fb>594.84</fb>
    <v>18</v>
  </rv>
  <rv s="2">
    <fb>594.54</fb>
    <v>18</v>
  </rv>
  <rv s="2">
    <fb>601.44000000000005</fb>
    <v>18</v>
  </rv>
  <rv s="2">
    <fb>604.9</fb>
    <v>18</v>
  </rv>
  <rv s="2">
    <fb>606.38</fb>
    <v>18</v>
  </rv>
  <rv s="2">
    <fb>602.78</fb>
    <v>18</v>
  </rv>
  <rv s="2">
    <fb>604.38</fb>
    <v>18</v>
  </rv>
  <rv s="2">
    <fb>604.67999999999995</fb>
    <v>18</v>
  </rv>
  <rv s="2">
    <fb>606.48</fb>
    <v>18</v>
  </rv>
  <rv s="2">
    <fb>606.6</fb>
    <v>18</v>
  </rv>
  <rv s="2">
    <fb>604.04</fb>
    <v>18</v>
  </rv>
  <rv s="2">
    <fb>611.02</fb>
    <v>18</v>
  </rv>
  <rv s="2">
    <fb>611.98</fb>
    <v>18</v>
  </rv>
  <rv s="2">
    <fb>611.86</fb>
    <v>18</v>
  </rv>
  <rv s="2">
    <fb>615.70000000000005</fb>
    <v>18</v>
  </rv>
  <rv s="2">
    <fb>615.66</fb>
    <v>18</v>
  </rv>
  <rv s="2">
    <fb>621.94000000000005</fb>
    <v>18</v>
  </rv>
  <rv s="2">
    <fb>605</fb>
    <v>18</v>
  </rv>
  <rv s="2">
    <fb>614.62</fb>
    <v>18</v>
  </rv>
  <rv s="2">
    <fb>614.58000000000004</fb>
    <v>18</v>
  </rv>
  <rv s="2">
    <fb>609.74</fb>
    <v>18</v>
  </rv>
  <rv s="2">
    <fb>605.70000000000005</fb>
    <v>18</v>
  </rv>
  <rv s="2">
    <fb>608.16</fb>
    <v>18</v>
  </rv>
  <rv s="2">
    <fb>619.02</fb>
    <v>18</v>
  </rv>
  <rv s="2">
    <fb>621.5</fb>
    <v>18</v>
  </rv>
  <rv s="2">
    <fb>617.26</fb>
    <v>18</v>
  </rv>
  <rv s="2">
    <fb>620.6</fb>
    <v>18</v>
  </rv>
  <rv s="2">
    <fb>625.74</fb>
    <v>18</v>
  </rv>
  <rv s="2">
    <fb>630.48</fb>
    <v>18</v>
  </rv>
  <rv s="2">
    <fb>632.67999999999995</fb>
    <v>18</v>
  </rv>
  <rv s="2">
    <fb>634.22</fb>
    <v>18</v>
  </rv>
  <rv s="2">
    <fb>633.05999999999995</fb>
    <v>18</v>
  </rv>
  <rv s="2">
    <fb>634.88</fb>
    <v>18</v>
  </rv>
  <rv s="2">
    <fb>636.1</fb>
    <v>18</v>
  </rv>
  <rv s="2">
    <fb>631.82000000000005</fb>
    <v>18</v>
  </rv>
  <rv s="2">
    <fb>635.22</fb>
    <v>18</v>
  </rv>
  <rv s="2">
    <fb>625.28</fb>
    <v>18</v>
  </rv>
  <rv s="2">
    <fb>621.16</fb>
    <v>18</v>
  </rv>
  <rv s="2">
    <fb>631.1</fb>
    <v>18</v>
  </rv>
  <rv s="2">
    <fb>631.67999999999995</fb>
    <v>18</v>
  </rv>
  <rv s="2">
    <fb>632.78</fb>
    <v>18</v>
  </rv>
  <rv s="2">
    <fb>619.74</fb>
    <v>18</v>
  </rv>
  <rv s="2">
    <fb>620.54</fb>
    <v>18</v>
  </rv>
  <rv s="2">
    <fb>614.4</fb>
    <v>18</v>
  </rv>
  <rv s="2">
    <fb>612.58000000000004</fb>
    <v>18</v>
  </rv>
  <rv s="2">
    <fb>614.88</fb>
    <v>18</v>
  </rv>
  <rv s="2">
    <fb>616.28</fb>
    <v>18</v>
  </rv>
  <rv s="2">
    <fb>622.64</fb>
    <v>18</v>
  </rv>
  <rv s="2">
    <fb>623.94000000000005</fb>
    <v>18</v>
  </rv>
  <rv s="2">
    <fb>629.79999999999995</fb>
    <v>18</v>
  </rv>
  <rv s="2">
    <fb>629.04</fb>
    <v>18</v>
  </rv>
  <rv s="2">
    <fb>631.08000000000004</fb>
    <v>18</v>
  </rv>
  <rv s="2">
    <fb>629.52</fb>
    <v>18</v>
  </rv>
  <rv s="2">
    <fb>628.72</fb>
    <v>18</v>
  </rv>
  <rv s="2">
    <fb>628.94000000000005</fb>
    <v>18</v>
  </rv>
  <rv s="2">
    <fb>629.78</fb>
    <v>18</v>
  </rv>
  <rv s="2">
    <fb>632.34</fb>
    <v>18</v>
  </rv>
  <rv s="2">
    <fb>628.24</fb>
    <v>18</v>
  </rv>
  <rv s="2">
    <fb>630.70000000000005</fb>
    <v>18</v>
  </rv>
  <rv s="2">
    <fb>631.79999999999995</fb>
    <v>18</v>
  </rv>
  <rv s="2">
    <fb>627.78</fb>
    <v>18</v>
  </rv>
  <rv s="2">
    <fb>622.36</fb>
    <v>18</v>
  </rv>
  <rv s="2">
    <fb>621.26</fb>
    <v>18</v>
  </rv>
  <rv s="2">
    <fb>618.14</fb>
    <v>18</v>
  </rv>
  <rv s="2">
    <fb>614.5</fb>
    <v>18</v>
  </rv>
  <rv s="2">
    <fb>618.98</fb>
    <v>18</v>
  </rv>
  <rv s="2">
    <fb>624.02</fb>
    <v>18</v>
  </rv>
  <rv s="2">
    <fb>626.6</fb>
    <v>18</v>
  </rv>
  <rv s="2">
    <fb>628.02</fb>
    <v>18</v>
  </rv>
  <rv s="2">
    <fb>629</fb>
    <v>18</v>
  </rv>
  <rv s="2">
    <fb>629.08000000000004</fb>
    <v>18</v>
  </rv>
  <rv s="2">
    <fb>629.24</fb>
    <v>18</v>
  </rv>
  <rv s="2">
    <fb>631.5</fb>
    <v>18</v>
  </rv>
  <rv s="2">
    <fb>636.76</fb>
    <v>18</v>
  </rv>
  <rv s="2">
    <fb>636.82000000000005</fb>
    <v>18</v>
  </rv>
  <rv s="2">
    <fb>636.6</fb>
    <v>18</v>
  </rv>
  <rv s="2">
    <fb>641.48</fb>
    <v>18</v>
  </rv>
  <rv s="2">
    <fb>640.38</fb>
    <v>18</v>
  </rv>
  <rv s="2">
    <fb>639.58000000000004</fb>
    <v>18</v>
  </rv>
  <rv s="2">
    <fb>634.17999999999995</fb>
    <v>18</v>
  </rv>
  <rv s="2">
    <fb>642.20000000000005</fb>
    <v>18</v>
  </rv>
  <rv s="2">
    <fb>642.64</fb>
    <v>18</v>
  </rv>
  <rv s="2">
    <fb>632.88</fb>
    <v>18</v>
  </rv>
  <rv s="2">
    <fb>622.58000000000004</fb>
    <v>18</v>
  </rv>
  <rv s="2">
    <fb>632.28</fb>
    <v>18</v>
  </rv>
  <rv s="2">
    <fb>632.41999999999996</fb>
    <v>18</v>
  </rv>
  <rv s="2">
    <fb>628.28</fb>
    <v>18</v>
  </rv>
  <rv s="2">
    <fb>627.9</fb>
    <v>18</v>
  </rv>
  <rv s="2">
    <fb>624.55999999999995</fb>
    <v>18</v>
  </rv>
  <rv s="2">
    <fb>625.08000000000004</fb>
    <v>18</v>
  </rv>
  <rv s="2">
    <fb>634.66</fb>
    <v>18</v>
  </rv>
  <rv s="2">
    <fb>624.58000000000004</fb>
    <v>18</v>
  </rv>
  <rv s="2">
    <fb>626.9</fb>
    <v>18</v>
  </rv>
  <rv s="2">
    <fb>618.12</fb>
    <v>18</v>
  </rv>
  <rv s="2">
    <fb>627.04</fb>
    <v>18</v>
  </rv>
  <rv s="2">
    <fb>627.70000000000005</fb>
    <v>18</v>
  </rv>
  <rv s="2">
    <fb>626.94000000000005</fb>
    <v>18</v>
  </rv>
  <rv s="3">
    <v>https://www.bing.com/financeapi/forcetrigger?t=a1waa2&amp;q=XNYS%3aJPM&amp;form=skydnc</v>
    <v>Learn more on Bing</v>
  </rv>
  <rv s="4">
    <v>7</v>
    <v>8</v>
    <v>JPMORGAN CHASE &amp; CO. (XNYS:JPM)</v>
    <v>9</v>
    <v>10</v>
    <v>Finance</v>
    <v>11</v>
    <v>fr-FR</v>
    <v>a1waa2</v>
    <v>268435456</v>
    <v>1</v>
    <v>Avec Refinitiv</v>
    <v>XNYS</v>
    <v>2749754000</v>
    <v>1968</v>
    <v>315.12009999999998</v>
    <v>202.16</v>
    <v>1.0499000000000001</v>
    <v>875191703119</v>
    <v>New York Stock Exchange</v>
    <v>0.12</v>
    <v>3.7699999999999995E-4</v>
    <v>322.10000000000002</v>
    <v>JPM</v>
    <v>46064.039327383594</v>
    <v>JPMorgan Chase &amp; Co. est une société holding financière. La Société exerce ses activités dans les services bancaires d'investissement, les services financiers aux consommateurs et aux petites entreprises, les services bancaires commerciaux, le traitement des transactions financières et la gestion d'actifs. La Société opère dans trois secteurs : Consumer &amp; Community Banking (CCB), commercial &amp; Investment Bank (CIB) et Asset &amp; Wealth Management (AWM). Son segment CCB offre des produits et services aux consommateurs et aux petites entreprises par le biais de succursales bancaires, de guichets automatiques, de services bancaires numériques et téléphoniques. Son segment CIB se compose de services bancaires et de paiements, de marchés et de valeurs mobilières, et offre une gamme de services bancaires d'investissement, de prêts, de paiements, de tenue de marché, de financement, produits et services de garde et de valeurs mobilières à une base mondiale de clients corporatifs et institutionnels. AWM segment propose des solutions de gestion de patrimoine et d'investissement. Elle offre des solutions de gestion de placements multi-actifs, des produits et services de retraite, des services de courtage, de garde, de planification successorale et autres.</v>
    <v>USD</v>
    <v>318512</v>
    <v>XNYS</v>
    <v>326.125</v>
    <v>337.25</v>
    <v>Banking Services</v>
    <v>1250</v>
    <v>-1.1859999999999999E-2</v>
    <v>-3.82</v>
    <v>JPMORGAN CHASE &amp; CO.</v>
    <v>JPMORGAN CHASE &amp; CO.</v>
    <v>322.55</v>
    <v>15.905799999999999</v>
    <v>318.27999999999997</v>
    <v>318.39999999999998</v>
    <v>270 Park Avenue, NEW YORK, NY, 10017 US</v>
    <v>Bourse</v>
    <v>JPMORGAN CHASE &amp; CO. (XNYS:JPM)</v>
    <v>9902224</v>
    <v>12258364</v>
  </rv>
  <rv s="1">
    <v>1251</v>
  </rv>
  <rv s="2">
    <fb>274.99</fb>
    <v>12</v>
  </rv>
  <rv s="2">
    <fb>275.45</fb>
    <v>12</v>
  </rv>
  <rv s="2">
    <fb>276.32</fb>
    <v>12</v>
  </rv>
  <rv s="2">
    <fb>276.58999999999997</fb>
    <v>12</v>
  </rv>
  <rv s="2">
    <fb>279.95</fb>
    <v>12</v>
  </rv>
  <rv s="2">
    <fb>279.25</fb>
    <v>12</v>
  </rv>
  <rv s="2">
    <fb>266.8</fb>
    <v>12</v>
  </rv>
  <rv s="2">
    <fb>264.24</fb>
    <v>12</v>
  </rv>
  <rv s="2">
    <fb>261.33999999999997</fb>
    <v>12</v>
  </rv>
  <rv s="2">
    <fb>257.39999999999998</fb>
    <v>12</v>
  </rv>
  <rv s="2">
    <fb>258.79000000000002</fb>
    <v>12</v>
  </rv>
  <rv s="2">
    <fb>259.05</fb>
    <v>12</v>
  </rv>
  <rv s="2">
    <fb>260.62</fb>
    <v>12</v>
  </rv>
  <rv s="2">
    <fb>250.25</fb>
    <v>12</v>
  </rv>
  <rv s="2">
    <fb>251.53</fb>
    <v>12</v>
  </rv>
  <rv s="2">
    <fb>246.54</fb>
    <v>12</v>
  </rv>
  <rv s="2">
    <fb>242.28</fb>
    <v>12</v>
  </rv>
  <rv s="2">
    <fb>232.22</fb>
    <v>12</v>
  </rv>
  <rv s="2">
    <fb>229.14</fb>
    <v>12</v>
  </rv>
  <rv s="2">
    <fb>227.9</fb>
    <v>12</v>
  </rv>
  <rv s="2">
    <fb>225.19</fb>
    <v>12</v>
  </rv>
  <rv s="2">
    <fb>232.44</fb>
    <v>12</v>
  </rv>
  <rv s="2">
    <fb>233.93</fb>
    <v>12</v>
  </rv>
  <rv s="2">
    <fb>234.97</fb>
    <v>12</v>
  </rv>
  <rv s="2">
    <fb>239.11</fb>
    <v>12</v>
  </rv>
  <rv s="2">
    <fb>239.01</fb>
    <v>12</v>
  </rv>
  <rv s="2">
    <fb>241.63</fb>
    <v>12</v>
  </rv>
  <rv s="2">
    <fb>248.06</fb>
    <v>12</v>
  </rv>
  <rv s="2">
    <fb>251.13</fb>
    <v>12</v>
  </rv>
  <rv s="2">
    <fb>251.03</fb>
    <v>12</v>
  </rv>
  <rv s="2">
    <fb>248.12</fb>
    <v>12</v>
  </rv>
  <rv s="2">
    <fb>242.85</fb>
    <v>12</v>
  </rv>
  <rv s="2">
    <fb>245.3</fb>
    <v>12</v>
  </rv>
  <rv s="2">
    <fb>243.66</fb>
    <v>12</v>
  </rv>
  <rv s="2">
    <fb>245.82</fb>
    <v>12</v>
  </rv>
  <rv s="2">
    <fb>228.69</fb>
    <v>12</v>
  </rv>
  <rv s="2">
    <fb>210.28</fb>
    <v>12</v>
  </rv>
  <rv s="2">
    <fb>214.44</fb>
    <v>12</v>
  </rv>
  <rv s="2">
    <fb>216.87</fb>
    <v>12</v>
  </rv>
  <rv s="2">
    <fb>227.11</fb>
    <v>12</v>
  </rv>
  <rv s="2">
    <fb>236.2</fb>
    <v>12</v>
  </rv>
  <rv s="2">
    <fb>234.72</fb>
    <v>12</v>
  </rv>
  <rv s="2">
    <fb>233.13</fb>
    <v>12</v>
  </rv>
  <rv s="2">
    <fb>229.61</fb>
    <v>12</v>
  </rv>
  <rv s="2">
    <fb>231.96</fb>
    <v>12</v>
  </rv>
  <rv s="2">
    <fb>228.99</fb>
    <v>12</v>
  </rv>
  <rv s="2">
    <fb>235.59</fb>
    <v>12</v>
  </rv>
  <rv s="2">
    <fb>240.88</fb>
    <v>12</v>
  </rv>
  <rv s="2">
    <fb>243.22</fb>
    <v>12</v>
  </rv>
  <rv s="2">
    <fb>244.62</fb>
    <v>12</v>
  </rv>
  <rv s="2">
    <fb>246.89</fb>
    <v>12</v>
  </rv>
  <rv s="2">
    <fb>252.51</fb>
    <v>12</v>
  </rv>
  <rv s="2">
    <fb>252.56</fb>
    <v>12</v>
  </rv>
  <rv s="2">
    <fb>249.25</fb>
    <v>12</v>
  </rv>
  <rv s="2">
    <fb>249.39</fb>
    <v>12</v>
  </rv>
  <rv s="2">
    <fb>253.47</fb>
    <v>12</v>
  </rv>
  <rv s="2">
    <fb>253.08</fb>
    <v>12</v>
  </rv>
  <rv s="2">
    <fb>260.05</fb>
    <v>12</v>
  </rv>
  <rv s="2">
    <fb>263.01</fb>
    <v>12</v>
  </rv>
  <rv s="2">
    <fb>265.64</fb>
    <v>12</v>
  </rv>
  <rv s="2">
    <fb>267.49</fb>
    <v>12</v>
  </rv>
  <rv s="2">
    <fb>267.56</fb>
    <v>12</v>
  </rv>
  <rv s="2">
    <fb>264.88</fb>
    <v>12</v>
  </rv>
  <rv s="2">
    <fb>265.68</fb>
    <v>12</v>
  </rv>
  <rv s="2">
    <fb>261.04000000000002</fb>
    <v>12</v>
  </rv>
  <rv s="2">
    <fb>260.67</fb>
    <v>12</v>
  </rv>
  <rv s="2">
    <fb>260.70999999999998</fb>
    <v>12</v>
  </rv>
  <rv s="2">
    <fb>265.29000000000002</fb>
    <v>12</v>
  </rv>
  <rv s="2">
    <fb>263.49</fb>
    <v>12</v>
  </rv>
  <rv s="2">
    <fb>264.37</fb>
    <v>12</v>
  </rv>
  <rv s="2">
    <fb>264</fb>
    <v>12</v>
  </rv>
  <rv s="2">
    <fb>264.66000000000003</fb>
    <v>12</v>
  </rv>
  <rv s="2">
    <fb>266.27</fb>
    <v>12</v>
  </rv>
  <rv s="2">
    <fb>264.22000000000003</fb>
    <v>12</v>
  </rv>
  <rv s="2">
    <fb>261.95</fb>
    <v>12</v>
  </rv>
  <rv s="2">
    <fb>265.73</fb>
    <v>12</v>
  </rv>
  <rv s="2">
    <fb>266.74</fb>
    <v>12</v>
  </rv>
  <rv s="2">
    <fb>268.60000000000002</fb>
    <v>12</v>
  </rv>
  <rv s="2">
    <fb>268.14999999999998</fb>
    <v>12</v>
  </rv>
  <rv s="2">
    <fb>268.24</fb>
    <v>12</v>
  </rv>
  <rv s="2">
    <fb>264.95</fb>
    <v>12</v>
  </rv>
  <rv s="2">
    <fb>270.36</fb>
    <v>12</v>
  </rv>
  <rv s="2">
    <fb>269.52</fb>
    <v>12</v>
  </rv>
  <rv s="2">
    <fb>273.95999999999998</fb>
    <v>12</v>
  </rv>
  <rv s="2">
    <fb>275</fb>
    <v>12</v>
  </rv>
  <rv s="2">
    <fb>278.27</fb>
    <v>12</v>
  </rv>
  <rv s="2">
    <fb>281.26</fb>
    <v>12</v>
  </rv>
  <rv s="2">
    <fb>284.06</fb>
    <v>12</v>
  </rv>
  <rv s="2">
    <fb>288.75</fb>
    <v>12</v>
  </rv>
  <rv s="2">
    <fb>287.11</fb>
    <v>12</v>
  </rv>
  <rv s="2">
    <fb>289.91000000000003</fb>
    <v>12</v>
  </rv>
  <rv s="2">
    <fb>290.41000000000003</fb>
    <v>12</v>
  </rv>
  <rv s="2">
    <fb>292</fb>
    <v>12</v>
  </rv>
  <rv s="2">
    <fb>296</fb>
    <v>12</v>
  </rv>
  <rv s="2">
    <fb>291.97000000000003</fb>
    <v>12</v>
  </rv>
  <rv s="2">
    <fb>282.77999999999997</fb>
    <v>12</v>
  </rv>
  <rv s="2">
    <fb>283.16000000000003</fb>
    <v>12</v>
  </rv>
  <rv s="2">
    <fb>288.19</fb>
    <v>12</v>
  </rv>
  <rv s="2">
    <fb>286.86</fb>
    <v>12</v>
  </rv>
  <rv s="2">
    <fb>288.7</fb>
    <v>12</v>
  </rv>
  <rv s="2">
    <fb>286.55</fb>
    <v>12</v>
  </rv>
  <rv s="2">
    <fb>285.82</fb>
    <v>12</v>
  </rv>
  <rv s="2">
    <fb>289.89999999999998</fb>
    <v>12</v>
  </rv>
  <rv s="2">
    <fb>291.27</fb>
    <v>12</v>
  </rv>
  <rv s="2">
    <fb>290.97000000000003</fb>
    <v>12</v>
  </rv>
  <rv s="2">
    <fb>291.43</fb>
    <v>12</v>
  </rv>
  <rv s="2">
    <fb>296.76</fb>
    <v>12</v>
  </rv>
  <rv s="2">
    <fb>296.55</fb>
    <v>12</v>
  </rv>
  <rv s="2">
    <fb>298.62</fb>
    <v>12</v>
  </rv>
  <rv s="2">
    <fb>298.27999999999997</fb>
    <v>12</v>
  </rv>
  <rv s="2">
    <fb>297.04000000000002</fb>
    <v>12</v>
  </rv>
  <rv s="2">
    <fb>299.63</fb>
    <v>12</v>
  </rv>
  <rv s="2">
    <fb>296.24</fb>
    <v>12</v>
  </rv>
  <rv s="2">
    <fb>289.37</fb>
    <v>12</v>
  </rv>
  <rv s="2">
    <fb>294.26</fb>
    <v>12</v>
  </rv>
  <rv s="2">
    <fb>291.37</fb>
    <v>12</v>
  </rv>
  <rv s="2">
    <fb>291.35000000000002</fb>
    <v>12</v>
  </rv>
  <rv s="2">
    <fb>286.94</fb>
    <v>12</v>
  </rv>
  <rv s="2">
    <fb>288.76</fb>
    <v>12</v>
  </rv>
  <rv s="2">
    <fb>289.56</fb>
    <v>12</v>
  </rv>
  <rv s="2">
    <fb>292.85000000000002</fb>
    <v>12</v>
  </rv>
  <rv s="2">
    <fb>290.52999999999997</fb>
    <v>12</v>
  </rv>
  <rv s="2">
    <fb>294.16000000000003</fb>
    <v>12</v>
  </rv>
  <rv s="2">
    <fb>290.49</fb>
    <v>12</v>
  </rv>
  <rv s="2">
    <fb>291.52999999999997</fb>
    <v>12</v>
  </rv>
  <rv s="2">
    <fb>290.66000000000003</fb>
    <v>12</v>
  </rv>
  <rv s="2">
    <fb>292.24</fb>
    <v>12</v>
  </rv>
  <rv s="2">
    <fb>291.47000000000003</fb>
    <v>12</v>
  </rv>
  <rv s="2">
    <fb>294.89999999999998</fb>
    <v>12</v>
  </rv>
  <rv s="2">
    <fb>298.57</fb>
    <v>12</v>
  </rv>
  <rv s="2">
    <fb>299.27999999999997</fb>
    <v>12</v>
  </rv>
  <rv s="2">
    <fb>301.07</fb>
    <v>12</v>
  </rv>
  <rv s="2">
    <fb>301.42</fb>
    <v>12</v>
  </rv>
  <rv s="2">
    <fb>299.7</fb>
    <v>12</v>
  </rv>
  <rv s="2">
    <fb>299.51</fb>
    <v>12</v>
  </rv>
  <rv s="2">
    <fb>303.82</fb>
    <v>12</v>
  </rv>
  <rv s="2">
    <fb>294.38</fb>
    <v>12</v>
  </rv>
  <rv s="2">
    <fb>292.91000000000003</fb>
    <v>12</v>
  </rv>
  <rv s="2">
    <fb>297.85000000000002</fb>
    <v>12</v>
  </rv>
  <rv s="2">
    <fb>300.54000000000002</fb>
    <v>12</v>
  </rv>
  <rv s="2">
    <fb>305.56</fb>
    <v>12</v>
  </rv>
  <rv s="2">
    <fb>306.91000000000003</fb>
    <v>12</v>
  </rv>
  <rv s="2">
    <fb>308.89999999999998</fb>
    <v>12</v>
  </rv>
  <rv s="2">
    <fb>309.19</fb>
    <v>12</v>
  </rv>
  <rv s="2">
    <fb>311.75</fb>
    <v>12</v>
  </rv>
  <rv s="2">
    <fb>313.23</fb>
    <v>12</v>
  </rv>
  <rv s="2">
    <fb>314.77999999999997</fb>
    <v>12</v>
  </rv>
  <rv s="2">
    <fb>312.44</fb>
    <v>12</v>
  </rv>
  <rv s="2">
    <fb>312.74</fb>
    <v>12</v>
  </rv>
  <rv s="2">
    <fb>313.42</fb>
    <v>12</v>
  </rv>
  <rv s="2">
    <fb>313.45</fb>
    <v>12</v>
  </rv>
  <rv s="2">
    <fb>316.06</fb>
    <v>12</v>
  </rv>
  <rv s="2">
    <fb>315.69</fb>
    <v>12</v>
  </rv>
  <rv s="2">
    <fb>315.43</fb>
    <v>12</v>
  </rv>
  <rv s="2">
    <fb>310.70999999999998</fb>
    <v>12</v>
  </rv>
  <rv s="2">
    <fb>307.55</fb>
    <v>12</v>
  </rv>
  <rv s="2">
    <fb>310.02999999999997</fb>
    <v>12</v>
  </rv>
  <rv s="2">
    <fb>309.18</fb>
    <v>12</v>
  </rv>
  <rv s="2">
    <fb>307.69</fb>
    <v>12</v>
  </rv>
  <rv s="2">
    <fb>304.02999999999997</fb>
    <v>12</v>
  </rv>
  <rv s="2">
    <fb>305.52999999999997</fb>
    <v>12</v>
  </rv>
  <rv s="2">
    <fb>300.89</fb>
    <v>12</v>
  </rv>
  <rv s="2">
    <fb>307.97000000000003</fb>
    <v>12</v>
  </rv>
  <rv s="2">
    <fb>302.08</fb>
    <v>12</v>
  </rv>
  <rv s="2">
    <fb>305.69</fb>
    <v>12</v>
  </rv>
  <rv s="2">
    <fb>298.54000000000002</fb>
    <v>12</v>
  </rv>
  <rv s="2">
    <fb>297.56</fb>
    <v>12</v>
  </rv>
  <rv s="2">
    <fb>302.36</fb>
    <v>12</v>
  </rv>
  <rv s="2">
    <fb>297.08999999999997</fb>
    <v>12</v>
  </rv>
  <rv s="2">
    <fb>294.11</fb>
    <v>12</v>
  </rv>
  <rv s="2">
    <fb>294.54000000000002</fb>
    <v>12</v>
  </rv>
  <rv s="2">
    <fb>300.44</fb>
    <v>12</v>
  </rv>
  <rv s="2">
    <fb>304.14999999999998</fb>
    <v>12</v>
  </rv>
  <rv s="2">
    <fb>305.36</fb>
    <v>12</v>
  </rv>
  <rv s="2">
    <fb>305.51</fb>
    <v>12</v>
  </rv>
  <rv s="2">
    <fb>309.44</fb>
    <v>12</v>
  </rv>
  <rv s="2">
    <fb>311.12</fb>
    <v>12</v>
  </rv>
  <rv s="2">
    <fb>309.35000000000002</fb>
    <v>12</v>
  </rv>
  <rv s="2">
    <fb>309.25</fb>
    <v>12</v>
  </rv>
  <rv s="2">
    <fb>311.68</fb>
    <v>12</v>
  </rv>
  <rv s="2">
    <fb>314.20999999999998</fb>
    <v>12</v>
  </rv>
  <rv s="2">
    <fb>316.89</fb>
    <v>12</v>
  </rv>
  <rv s="2">
    <fb>315.62</fb>
    <v>12</v>
  </rv>
  <rv s="2">
    <fb>320.41000000000003</fb>
    <v>12</v>
  </rv>
  <rv s="2">
    <fb>309.48</fb>
    <v>12</v>
  </rv>
  <rv s="2">
    <fb>303.61</fb>
    <v>12</v>
  </rv>
  <rv s="2">
    <fb>300.37</fb>
    <v>12</v>
  </rv>
  <rv s="2">
    <fb>299.41000000000003</fb>
    <v>12</v>
  </rv>
  <rv s="2">
    <fb>303.27</fb>
    <v>12</v>
  </rv>
  <rv s="2">
    <fb>298.38</fb>
    <v>12</v>
  </rv>
  <rv s="2">
    <fb>298.02</fb>
    <v>12</v>
  </rv>
  <rv s="2">
    <fb>298</fb>
    <v>12</v>
  </rv>
  <rv s="2">
    <fb>303</fb>
    <v>12</v>
  </rv>
  <rv s="2">
    <fb>307.64</fb>
    <v>12</v>
  </rv>
  <rv s="2">
    <fb>313.08</fb>
    <v>12</v>
  </rv>
  <rv s="2">
    <fb>308.92</fb>
    <v>12</v>
  </rv>
  <rv s="2">
    <fb>307.88</fb>
    <v>12</v>
  </rv>
  <rv s="2">
    <fb>312.13</fb>
    <v>12</v>
  </rv>
  <rv s="2">
    <fb>316.10000000000002</fb>
    <v>12</v>
  </rv>
  <rv s="2">
    <fb>315.04000000000002</fb>
    <v>12</v>
  </rv>
  <rv s="2">
    <fb>315.20999999999998</fb>
    <v>12</v>
  </rv>
  <rv s="2">
    <fb>300.51</fb>
    <v>12</v>
  </rv>
  <rv s="2">
    <fb>310.11</fb>
    <v>12</v>
  </rv>
  <rv s="2">
    <fb>317.38</fb>
    <v>12</v>
  </rv>
  <rv s="2">
    <fb>318.52</fb>
    <v>12</v>
  </rv>
  <rv s="2">
    <fb>320.02</fb>
    <v>12</v>
  </rv>
  <rv s="2">
    <fb>315.55</fb>
    <v>12</v>
  </rv>
  <rv s="2">
    <fb>314.98</fb>
    <v>12</v>
  </rv>
  <rv s="2">
    <fb>313</fb>
    <v>12</v>
  </rv>
  <rv s="2">
    <fb>317.20999999999998</fb>
    <v>12</v>
  </rv>
  <rv s="2">
    <fb>323.08999999999997</fb>
    <v>12</v>
  </rv>
  <rv s="2">
    <fb>325.93</fb>
    <v>12</v>
  </rv>
  <rv s="2">
    <fb>329.17</fb>
    <v>12</v>
  </rv>
  <rv s="2">
    <fb>327.91</fb>
    <v>12</v>
  </rv>
  <rv s="2">
    <fb>323.75</fb>
    <v>12</v>
  </rv>
  <rv s="2">
    <fb>323.42</fb>
    <v>12</v>
  </rv>
  <rv s="2">
    <fb>322.22000000000003</fb>
    <v>12</v>
  </rv>
  <rv s="2">
    <fb>325.48</fb>
    <v>12</v>
  </rv>
  <rv s="2">
    <fb>334.04</fb>
    <v>12</v>
  </rv>
  <rv s="2">
    <fb>334.61</fb>
    <v>12</v>
  </rv>
  <rv s="2">
    <fb>326.99</fb>
    <v>12</v>
  </rv>
  <rv s="2">
    <fb>329.79</fb>
    <v>12</v>
  </rv>
  <rv s="2">
    <fb>329.19</fb>
    <v>12</v>
  </rv>
  <rv s="2">
    <fb>324.49</fb>
    <v>12</v>
  </rv>
  <rv s="2">
    <fb>310.89999999999998</fb>
    <v>12</v>
  </rv>
  <rv s="2">
    <fb>307.87</fb>
    <v>12</v>
  </rv>
  <rv s="2">
    <fb>309.26</fb>
    <v>12</v>
  </rv>
  <rv s="2">
    <fb>312.47000000000003</fb>
    <v>12</v>
  </rv>
  <rv s="2">
    <fb>302.74</fb>
    <v>12</v>
  </rv>
  <rv s="2">
    <fb>302.04000000000002</fb>
    <v>12</v>
  </rv>
  <rv s="2">
    <fb>303.63</fb>
    <v>12</v>
  </rv>
  <rv s="2">
    <fb>301.04000000000002</fb>
    <v>12</v>
  </rv>
  <rv s="2">
    <fb>300.31</fb>
    <v>12</v>
  </rv>
  <rv s="2">
    <fb>300.77</fb>
    <v>12</v>
  </rv>
  <rv s="2">
    <fb>306.42</fb>
    <v>12</v>
  </rv>
  <rv s="2">
    <fb>305.89</fb>
    <v>12</v>
  </rv>
  <rv s="2">
    <fb>308.14</fb>
    <v>12</v>
  </rv>
  <rv s="2">
    <fb>314.85000000000002</fb>
    <v>12</v>
  </rv>
  <rv s="2">
    <fb>317.27</fb>
    <v>12</v>
  </rv>
  <rv s="2">
    <fb>310.16000000000003</fb>
    <v>12</v>
  </rv>
  <rv s="2">
    <fb>322.39999999999998</fb>
    <v>12</v>
  </rv>
  <rv s="2">
    <fb>322.10000000000002</fb>
    <v>12</v>
  </rv>
  <rv s="2">
    <fb>318.27999999999997</fb>
    <v>12</v>
  </rv>
  <rv s="3">
    <v>https://www.bing.com/financeapi/forcetrigger?t=a1yv52&amp;q=XNAS%3aNVDA&amp;form=skydnc</v>
    <v>Learn more on Bing</v>
  </rv>
  <rv s="4">
    <v>7</v>
    <v>8</v>
    <v>NVIDIA CORPORATION (XNAS:NVDA)</v>
    <v>9</v>
    <v>10</v>
    <v>Finance</v>
    <v>11</v>
    <v>fr-FR</v>
    <v>a1yv52</v>
    <v>268435456</v>
    <v>1</v>
    <v>Avec Refinitiv</v>
    <v>XNAS</v>
    <v>24300000000</v>
    <v>1998</v>
    <v>188.12</v>
    <v>86.62</v>
    <v>2.3174000000000001</v>
    <v>4581522000000</v>
    <v>Nasdaq Stock Market</v>
    <v>0.32500000000000001</v>
    <v>1.7240000000000001E-3</v>
    <v>190.04</v>
    <v>NVDA</v>
    <v>46064.041665207813</v>
    <v>NVIDIA Corporation est une société d'infrastructure informatique full stack. La société est engagée dans l'informatique accélérée pour aider à résoudre les problèmes informatiques difficiles. Les segments de la société comprennent le calcul et la mise en réseau et les graphiques. Le segment informatique et réseautage comprend ses plateformes informatiques accélérées de centre de données et ses solutions et logiciels d'intelligence artificielle (IA) ; la mise en réseau ; les plateformes automobiles et les solutions de véhicules autonomes et électriques ; Jetson pour la robotique et autres plateformes embarquées ; et les services de cloud computing DGX. Le segment graphique comprend les GPU GeForce pour les jeux et les PC, le service de streaming de jeux GeForce NOW et l'infrastructure connexe, ainsi que des solutions pour les plates-formes de jeux ; les GPU Quadro/NVIDIA RTX pour les graphismes des stations de travail d'entreprise ; le logiciel GPU virtuel pour l'informatique visuelle et virtuelle basée sur le cloud ; les plates-formes automobiles pour les systèmes d'infodivertissement et le logiciel Omniverse Enterprise pour la construction et l'exploitation d'applications industrielles</v>
    <v>USD</v>
    <v>36000</v>
    <v>XNAS</v>
    <v>192.48</v>
    <v>212.18989999999999</v>
    <v>Semiconductors &amp; Semiconductor Equipment</v>
    <v>1496</v>
    <v>-7.8930000000000007E-3</v>
    <v>-1.5</v>
    <v>NVIDIA CORPORATION</v>
    <v>NVIDIA CORPORATION</v>
    <v>191.38</v>
    <v>46.697200000000002</v>
    <v>188.54</v>
    <v>188.86500000000001</v>
    <v>2788 San Tomas Expressway, SANTA CLARA, CA, 95051 US</v>
    <v>Bourse</v>
    <v>NVIDIA CORPORATION (XNAS:NVDA)</v>
    <v>136764825</v>
    <v>174194492</v>
  </rv>
  <rv s="1">
    <v>1497</v>
  </rv>
  <rv s="2">
    <fb>132.80000000000001</fb>
    <v>12</v>
  </rv>
  <rv s="2">
    <fb>131.13999999999999</fb>
    <v>12</v>
  </rv>
  <rv s="2">
    <fb>135.29</fb>
    <v>12</v>
  </rv>
  <rv s="2">
    <fb>138.85</fb>
    <v>12</v>
  </rv>
  <rv s="2">
    <fb>139.4</fb>
    <v>12</v>
  </rv>
  <rv s="2">
    <fb>139.22999999999999</fb>
    <v>12</v>
  </rv>
  <rv s="2">
    <fb>140.11000000000001</fb>
    <v>12</v>
  </rv>
  <rv s="2">
    <fb>134.43</fb>
    <v>12</v>
  </rv>
  <rv s="2">
    <fb>130.28</fb>
    <v>12</v>
  </rv>
  <rv s="2">
    <fb>126.63</fb>
    <v>12</v>
  </rv>
  <rv s="2">
    <fb>131.28</fb>
    <v>12</v>
  </rv>
  <rv s="2">
    <fb>120.15</fb>
    <v>12</v>
  </rv>
  <rv s="2">
    <fb>124.92</fb>
    <v>12</v>
  </rv>
  <rv s="2">
    <fb>114.06</fb>
    <v>12</v>
  </rv>
  <rv s="2">
    <fb>115.99</fb>
    <v>12</v>
  </rv>
  <rv s="2">
    <fb>117.3</fb>
    <v>12</v>
  </rv>
  <rv s="2">
    <fb>110.57</fb>
    <v>12</v>
  </rv>
  <rv s="2">
    <fb>112.69</fb>
    <v>12</v>
  </rv>
  <rv s="2">
    <fb>106.98</fb>
    <v>12</v>
  </rv>
  <rv s="2">
    <fb>108.76</fb>
    <v>12</v>
  </rv>
  <rv s="2">
    <fb>115.74</fb>
    <v>12</v>
  </rv>
  <rv s="2">
    <fb>115.58</fb>
    <v>12</v>
  </rv>
  <rv s="2">
    <fb>121.67</fb>
    <v>12</v>
  </rv>
  <rv s="2">
    <fb>119.53</fb>
    <v>12</v>
  </rv>
  <rv s="2">
    <fb>115.43</fb>
    <v>12</v>
  </rv>
  <rv s="2">
    <fb>117.52</fb>
    <v>12</v>
  </rv>
  <rv s="2">
    <fb>118.53</fb>
    <v>12</v>
  </rv>
  <rv s="2">
    <fb>117.7</fb>
    <v>12</v>
  </rv>
  <rv s="2">
    <fb>121.41</fb>
    <v>12</v>
  </rv>
  <rv s="2">
    <fb>120.69</fb>
    <v>12</v>
  </rv>
  <rv s="2">
    <fb>113.76</fb>
    <v>12</v>
  </rv>
  <rv s="2">
    <fb>111.43</fb>
    <v>12</v>
  </rv>
  <rv s="2">
    <fb>109.67</fb>
    <v>12</v>
  </rv>
  <rv s="2">
    <fb>108.38</fb>
    <v>12</v>
  </rv>
  <rv s="2">
    <fb>110.15</fb>
    <v>12</v>
  </rv>
  <rv s="2">
    <fb>110.42</fb>
    <v>12</v>
  </rv>
  <rv s="2">
    <fb>101.8</fb>
    <v>12</v>
  </rv>
  <rv s="2">
    <fb>94.31</fb>
    <v>12</v>
  </rv>
  <rv s="2">
    <fb>97.64</fb>
    <v>12</v>
  </rv>
  <rv s="2">
    <fb>96.3</fb>
    <v>12</v>
  </rv>
  <rv s="2">
    <fb>114.33</fb>
    <v>12</v>
  </rv>
  <rv s="2">
    <fb>107.57</fb>
    <v>12</v>
  </rv>
  <rv s="2">
    <fb>110.93</fb>
    <v>12</v>
  </rv>
  <rv s="2">
    <fb>110.71</fb>
    <v>12</v>
  </rv>
  <rv s="2">
    <fb>112.2</fb>
    <v>12</v>
  </rv>
  <rv s="2">
    <fb>104.49</fb>
    <v>12</v>
  </rv>
  <rv s="2">
    <fb>101.49</fb>
    <v>12</v>
  </rv>
  <rv s="2">
    <fb>96.91</fb>
    <v>12</v>
  </rv>
  <rv s="2">
    <fb>98.89</fb>
    <v>12</v>
  </rv>
  <rv s="2">
    <fb>102.71</fb>
    <v>12</v>
  </rv>
  <rv s="2">
    <fb>106.43</fb>
    <v>12</v>
  </rv>
  <rv s="2">
    <fb>111.01</fb>
    <v>12</v>
  </rv>
  <rv s="2">
    <fb>108.73</fb>
    <v>12</v>
  </rv>
  <rv s="2">
    <fb>109.02</fb>
    <v>12</v>
  </rv>
  <rv s="2">
    <fb>108.92</fb>
    <v>12</v>
  </rv>
  <rv s="2">
    <fb>111.61</fb>
    <v>12</v>
  </rv>
  <rv s="2">
    <fb>114.5</fb>
    <v>12</v>
  </rv>
  <rv s="2">
    <fb>113.82</fb>
    <v>12</v>
  </rv>
  <rv s="2">
    <fb>113.54</fb>
    <v>12</v>
  </rv>
  <rv s="2">
    <fb>117.06</fb>
    <v>12</v>
  </rv>
  <rv s="2">
    <fb>117.37</fb>
    <v>12</v>
  </rv>
  <rv s="2">
    <fb>116.65</fb>
    <v>12</v>
  </rv>
  <rv s="2">
    <fb>123</fb>
    <v>12</v>
  </rv>
  <rv s="2">
    <fb>129.93</fb>
    <v>12</v>
  </rv>
  <rv s="2">
    <fb>135.34</fb>
    <v>12</v>
  </rv>
  <rv s="2">
    <fb>134.83000000000001</fb>
    <v>12</v>
  </rv>
  <rv s="2">
    <fb>135.4</fb>
    <v>12</v>
  </rv>
  <rv s="2">
    <fb>135.57</fb>
    <v>12</v>
  </rv>
  <rv s="2">
    <fb>134.38</fb>
    <v>12</v>
  </rv>
  <rv s="2">
    <fb>131.80000000000001</fb>
    <v>12</v>
  </rv>
  <rv s="2">
    <fb>132.83000000000001</fb>
    <v>12</v>
  </rv>
  <rv s="2">
    <fb>131.29</fb>
    <v>12</v>
  </rv>
  <rv s="2">
    <fb>135.5</fb>
    <v>12</v>
  </rv>
  <rv s="2">
    <fb>134.81</fb>
    <v>12</v>
  </rv>
  <rv s="2">
    <fb>139.19</fb>
    <v>12</v>
  </rv>
  <rv s="2">
    <fb>135.13</fb>
    <v>12</v>
  </rv>
  <rv s="2">
    <fb>137.38</fb>
    <v>12</v>
  </rv>
  <rv s="2">
    <fb>141.22</fb>
    <v>12</v>
  </rv>
  <rv s="2">
    <fb>141.91999999999999</fb>
    <v>12</v>
  </rv>
  <rv s="2">
    <fb>139.99</fb>
    <v>12</v>
  </rv>
  <rv s="2">
    <fb>141.72</fb>
    <v>12</v>
  </rv>
  <rv s="2">
    <fb>142.63</fb>
    <v>12</v>
  </rv>
  <rv s="2">
    <fb>143.96</fb>
    <v>12</v>
  </rv>
  <rv s="2">
    <fb>142.83000000000001</fb>
    <v>12</v>
  </rv>
  <rv s="2">
    <fb>145</fb>
    <v>12</v>
  </rv>
  <rv s="2">
    <fb>141.97</fb>
    <v>12</v>
  </rv>
  <rv s="2">
    <fb>144.69</fb>
    <v>12</v>
  </rv>
  <rv s="2">
    <fb>144.12</fb>
    <v>12</v>
  </rv>
  <rv s="2">
    <fb>145.47999999999999</fb>
    <v>12</v>
  </rv>
  <rv s="2">
    <fb>143.85</fb>
    <v>12</v>
  </rv>
  <rv s="2">
    <fb>144.16999999999999</fb>
    <v>12</v>
  </rv>
  <rv s="2">
    <fb>147.9</fb>
    <v>12</v>
  </rv>
  <rv s="2">
    <fb>154.31</fb>
    <v>12</v>
  </rv>
  <rv s="2">
    <fb>155.02000000000001</fb>
    <v>12</v>
  </rv>
  <rv s="2">
    <fb>157.75</fb>
    <v>12</v>
  </rv>
  <rv s="2">
    <fb>157.99</fb>
    <v>12</v>
  </rv>
  <rv s="2">
    <fb>153.30000000000001</fb>
    <v>12</v>
  </rv>
  <rv s="2">
    <fb>157.25</fb>
    <v>12</v>
  </rv>
  <rv s="2">
    <fb>159.34</fb>
    <v>12</v>
  </rv>
  <rv s="2">
    <fb>158.24</fb>
    <v>12</v>
  </rv>
  <rv s="2">
    <fb>160</fb>
    <v>12</v>
  </rv>
  <rv s="2">
    <fb>162.88</fb>
    <v>12</v>
  </rv>
  <rv s="2">
    <fb>164.1</fb>
    <v>12</v>
  </rv>
  <rv s="2">
    <fb>164.92</fb>
    <v>12</v>
  </rv>
  <rv s="2">
    <fb>164.07</fb>
    <v>12</v>
  </rv>
  <rv s="2">
    <fb>170.7</fb>
    <v>12</v>
  </rv>
  <rv s="2">
    <fb>171.37</fb>
    <v>12</v>
  </rv>
  <rv s="2">
    <fb>173</fb>
    <v>12</v>
  </rv>
  <rv s="2">
    <fb>172.41</fb>
    <v>12</v>
  </rv>
  <rv s="2">
    <fb>171.38</fb>
    <v>12</v>
  </rv>
  <rv s="2">
    <fb>167.03</fb>
    <v>12</v>
  </rv>
  <rv s="2">
    <fb>170.78</fb>
    <v>12</v>
  </rv>
  <rv s="2">
    <fb>173.74</fb>
    <v>12</v>
  </rv>
  <rv s="2">
    <fb>173.5</fb>
    <v>12</v>
  </rv>
  <rv s="2">
    <fb>176.75</fb>
    <v>12</v>
  </rv>
  <rv s="2">
    <fb>175.51</fb>
    <v>12</v>
  </rv>
  <rv s="2">
    <fb>177.87</fb>
    <v>12</v>
  </rv>
  <rv s="2">
    <fb>173.72</fb>
    <v>12</v>
  </rv>
  <rv s="2">
    <fb>180</fb>
    <v>12</v>
  </rv>
  <rv s="2">
    <fb>178.26</fb>
    <v>12</v>
  </rv>
  <rv s="2">
    <fb>179.42</fb>
    <v>12</v>
  </rv>
  <rv s="2">
    <fb>180.77</fb>
    <v>12</v>
  </rv>
  <rv s="2">
    <fb>182.7</fb>
    <v>12</v>
  </rv>
  <rv s="2">
    <fb>182.06</fb>
    <v>12</v>
  </rv>
  <rv s="2">
    <fb>183.16</fb>
    <v>12</v>
  </rv>
  <rv s="2">
    <fb>181.59</fb>
    <v>12</v>
  </rv>
  <rv s="2">
    <fb>182.02</fb>
    <v>12</v>
  </rv>
  <rv s="2">
    <fb>180.45</fb>
    <v>12</v>
  </rv>
  <rv s="2">
    <fb>182.01</fb>
    <v>12</v>
  </rv>
  <rv s="2">
    <fb>175.64</fb>
    <v>12</v>
  </rv>
  <rv s="2">
    <fb>175.4</fb>
    <v>12</v>
  </rv>
  <rv s="2">
    <fb>174.98</fb>
    <v>12</v>
  </rv>
  <rv s="2">
    <fb>177.99</fb>
    <v>12</v>
  </rv>
  <rv s="2">
    <fb>179.81</fb>
    <v>12</v>
  </rv>
  <rv s="2">
    <fb>181.77</fb>
    <v>12</v>
  </rv>
  <rv s="2">
    <fb>181.6</fb>
    <v>12</v>
  </rv>
  <rv s="2">
    <fb>180.17</fb>
    <v>12</v>
  </rv>
  <rv s="2">
    <fb>174.18</fb>
    <v>12</v>
  </rv>
  <rv s="2">
    <fb>170.62</fb>
    <v>12</v>
  </rv>
  <rv s="2">
    <fb>171.66</fb>
    <v>12</v>
  </rv>
  <rv s="2">
    <fb>167.02</fb>
    <v>12</v>
  </rv>
  <rv s="2">
    <fb>168.31</fb>
    <v>12</v>
  </rv>
  <rv s="2">
    <fb>170.76</fb>
    <v>12</v>
  </rv>
  <rv s="2">
    <fb>177.33</fb>
    <v>12</v>
  </rv>
  <rv s="2">
    <fb>177.17</fb>
    <v>12</v>
  </rv>
  <rv s="2">
    <fb>177.82</fb>
    <v>12</v>
  </rv>
  <rv s="2">
    <fb>177.75</fb>
    <v>12</v>
  </rv>
  <rv s="2">
    <fb>174.88</fb>
    <v>12</v>
  </rv>
  <rv s="2">
    <fb>170.29</fb>
    <v>12</v>
  </rv>
  <rv s="2">
    <fb>176.24</fb>
    <v>12</v>
  </rv>
  <rv s="2">
    <fb>176.67</fb>
    <v>12</v>
  </rv>
  <rv s="2">
    <fb>183.61</fb>
    <v>12</v>
  </rv>
  <rv s="2">
    <fb>178.43</fb>
    <v>12</v>
  </rv>
  <rv s="2">
    <fb>177.69</fb>
    <v>12</v>
  </rv>
  <rv s="2">
    <fb>178.19</fb>
    <v>12</v>
  </rv>
  <rv s="2">
    <fb>181.85</fb>
    <v>12</v>
  </rv>
  <rv s="2">
    <fb>186.58</fb>
    <v>12</v>
  </rv>
  <rv s="2">
    <fb>187.24</fb>
    <v>12</v>
  </rv>
  <rv s="2">
    <fb>188.89</fb>
    <v>12</v>
  </rv>
  <rv s="2">
    <fb>187.62</fb>
    <v>12</v>
  </rv>
  <rv s="2">
    <fb>185.54</fb>
    <v>12</v>
  </rv>
  <rv s="2">
    <fb>185.04</fb>
    <v>12</v>
  </rv>
  <rv s="2">
    <fb>189.11</fb>
    <v>12</v>
  </rv>
  <rv s="2">
    <fb>192.57</fb>
    <v>12</v>
  </rv>
  <rv s="2">
    <fb>188.32</fb>
    <v>12</v>
  </rv>
  <rv s="2">
    <fb>180.03</fb>
    <v>12</v>
  </rv>
  <rv s="2">
    <fb>179.83</fb>
    <v>12</v>
  </rv>
  <rv s="2">
    <fb>181.81</fb>
    <v>12</v>
  </rv>
  <rv s="2">
    <fb>183.22</fb>
    <v>12</v>
  </rv>
  <rv s="2">
    <fb>182.64</fb>
    <v>12</v>
  </rv>
  <rv s="2">
    <fb>181.16</fb>
    <v>12</v>
  </rv>
  <rv s="2">
    <fb>180.28</fb>
    <v>12</v>
  </rv>
  <rv s="2">
    <fb>182.16</fb>
    <v>12</v>
  </rv>
  <rv s="2">
    <fb>186.26</fb>
    <v>12</v>
  </rv>
  <rv s="2">
    <fb>191.49</fb>
    <v>12</v>
  </rv>
  <rv s="2">
    <fb>201.03</fb>
    <v>12</v>
  </rv>
  <rv s="2">
    <fb>207.04</fb>
    <v>12</v>
  </rv>
  <rv s="2">
    <fb>202.89</fb>
    <v>12</v>
  </rv>
  <rv s="2">
    <fb>206.88</fb>
    <v>12</v>
  </rv>
  <rv s="2">
    <fb>198.69</fb>
    <v>12</v>
  </rv>
  <rv s="2">
    <fb>195.21</fb>
    <v>12</v>
  </rv>
  <rv s="2">
    <fb>188.08</fb>
    <v>12</v>
  </rv>
  <rv s="2">
    <fb>199.05</fb>
    <v>12</v>
  </rv>
  <rv s="2">
    <fb>193.16</fb>
    <v>12</v>
  </rv>
  <rv s="2">
    <fb>193.8</fb>
    <v>12</v>
  </rv>
  <rv s="2">
    <fb>186.86</fb>
    <v>12</v>
  </rv>
  <rv s="2">
    <fb>190.17</fb>
    <v>12</v>
  </rv>
  <rv s="2">
    <fb>186.6</fb>
    <v>12</v>
  </rv>
  <rv s="2">
    <fb>181.36</fb>
    <v>12</v>
  </rv>
  <rv s="2">
    <fb>186.52</fb>
    <v>12</v>
  </rv>
  <rv s="2">
    <fb>180.64</fb>
    <v>12</v>
  </rv>
  <rv s="2">
    <fb>178.88</fb>
    <v>12</v>
  </rv>
  <rv s="2">
    <fb>182.55</fb>
    <v>12</v>
  </rv>
  <rv s="2">
    <fb>180.26</fb>
    <v>12</v>
  </rv>
  <rv s="2">
    <fb>177</fb>
    <v>12</v>
  </rv>
  <rv s="2">
    <fb>179.92</fb>
    <v>12</v>
  </rv>
  <rv s="2">
    <fb>181.46</fb>
    <v>12</v>
  </rv>
  <rv s="2">
    <fb>183.38</fb>
    <v>12</v>
  </rv>
  <rv s="2">
    <fb>182.41</fb>
    <v>12</v>
  </rv>
  <rv s="2">
    <fb>185.55</fb>
    <v>12</v>
  </rv>
  <rv s="2">
    <fb>184.97</fb>
    <v>12</v>
  </rv>
  <rv s="2">
    <fb>183.78</fb>
    <v>12</v>
  </rv>
  <rv s="2">
    <fb>180.93</fb>
    <v>12</v>
  </rv>
  <rv s="2">
    <fb>175.02</fb>
    <v>12</v>
  </rv>
  <rv s="2">
    <fb>176.29</fb>
    <v>12</v>
  </rv>
  <rv s="2">
    <fb>177.72</fb>
    <v>12</v>
  </rv>
  <rv s="2">
    <fb>170.94</fb>
    <v>12</v>
  </rv>
  <rv s="2">
    <fb>174.14</fb>
    <v>12</v>
  </rv>
  <rv s="2">
    <fb>180.99</fb>
    <v>12</v>
  </rv>
  <rv s="2">
    <fb>183.69</fb>
    <v>12</v>
  </rv>
  <rv s="2">
    <fb>189.21</fb>
    <v>12</v>
  </rv>
  <rv s="2">
    <fb>188.61</fb>
    <v>12</v>
  </rv>
  <rv s="2">
    <fb>190.53</fb>
    <v>12</v>
  </rv>
  <rv s="2">
    <fb>188.22</fb>
    <v>12</v>
  </rv>
  <rv s="2">
    <fb>187.54</fb>
    <v>12</v>
  </rv>
  <rv s="2">
    <fb>186.5</fb>
    <v>12</v>
  </rv>
  <rv s="2">
    <fb>188.85</fb>
    <v>12</v>
  </rv>
  <rv s="2">
    <fb>188.12</fb>
    <v>12</v>
  </rv>
  <rv s="2">
    <fb>184.86</fb>
    <v>12</v>
  </rv>
  <rv s="2">
    <fb>184.94</fb>
    <v>12</v>
  </rv>
  <rv s="2">
    <fb>185.81</fb>
    <v>12</v>
  </rv>
  <rv s="2">
    <fb>183.14</fb>
    <v>12</v>
  </rv>
  <rv s="2">
    <fb>187.05</fb>
    <v>12</v>
  </rv>
  <rv s="2">
    <fb>186.23</fb>
    <v>12</v>
  </rv>
  <rv s="2">
    <fb>178.07</fb>
    <v>12</v>
  </rv>
  <rv s="2">
    <fb>183.32</fb>
    <v>12</v>
  </rv>
  <rv s="2">
    <fb>184.84</fb>
    <v>12</v>
  </rv>
  <rv s="2">
    <fb>187.67</fb>
    <v>12</v>
  </rv>
  <rv s="2">
    <fb>186.47</fb>
    <v>12</v>
  </rv>
  <rv s="2">
    <fb>188.52</fb>
    <v>12</v>
  </rv>
  <rv s="2">
    <fb>191.52</fb>
    <v>12</v>
  </rv>
  <rv s="2">
    <fb>192.51</fb>
    <v>12</v>
  </rv>
  <rv s="2">
    <fb>191.13</fb>
    <v>12</v>
  </rv>
  <rv s="2">
    <fb>185.61</fb>
    <v>12</v>
  </rv>
  <rv s="2">
    <fb>180.34</fb>
    <v>12</v>
  </rv>
  <rv s="2">
    <fb>174.19</fb>
    <v>12</v>
  </rv>
  <rv s="2">
    <fb>171.88</fb>
    <v>12</v>
  </rv>
  <rv s="2">
    <fb>185.41</fb>
    <v>12</v>
  </rv>
  <rv s="2">
    <fb>190.04</fb>
    <v>12</v>
  </rv>
  <rv s="2">
    <fb>188.54</fb>
    <v>12</v>
  </rv>
  <rv s="3">
    <v>https://www.bing.com/financeapi/forcetrigger?t=a1zgm7&amp;q=XNAS%3aPANW&amp;form=skydnc</v>
    <v>Learn more on Bing</v>
  </rv>
  <rv s="4">
    <v>7</v>
    <v>8</v>
    <v>PALO ALTO NETWORKS, INC. (XNAS:PANW)</v>
    <v>9</v>
    <v>10</v>
    <v>Finance</v>
    <v>11</v>
    <v>fr-FR</v>
    <v>a1zgm7</v>
    <v>268435456</v>
    <v>1</v>
    <v>Avec Refinitiv</v>
    <v>XNAS</v>
    <v>697000000</v>
    <v>2005</v>
    <v>164.3</v>
    <v>144.14500000000001</v>
    <v>0.75539999999999996</v>
    <v>115360470000</v>
    <v>Nasdaq Stock Market</v>
    <v>3.24</v>
    <v>1.9576E-2</v>
    <v>166</v>
    <v>PANW</v>
    <v>46064.041490589843</v>
    <v>Palo Alto Networks, Inc. fournit des solutions de sécurité complètes basées sur l'intelligence artificielle (IA) sur le réseau, le cloud, les opérations de sécurité et l'IA. La société se concentre sur quatre domaines : la sécurité des réseaux, la sécurité dans le cloud, les opérations de sécurité et les renseignements sur les menaces et les services consultatifs (unité 42). Sa plate-forme de sécurité réseau comprend des pare-feu alimentés par ML, ai Runtime Security et un framework SASE (Secure Access Service Edge), qui comprend Prisma Access, Prisma SD-WAN et Prisma Access Browser pour sécuriser les employés distants et les succursales. Sa sécurité Cloud est assurée via Prisma Cloud, une plateforme Code to Cloud qui protège les applications, les données, les environnements GenAI et la pile native cloud tout au long du cycle de développement. Sa division Unit 42 fournit des services de consultation axés sur le renseignement, d'intervention en cas d'incident, de détection et d'intervention gérées, ainsi que des services de chasse aux menaces. ITS Prisma AIRS est une plateforme de sécurité IA qui sécurise les applications, les agents, les modèles et les données.</v>
    <v>USD</v>
    <v>16413</v>
    <v>XNAS</v>
    <v>168.28</v>
    <v>223.61</v>
    <v>Software &amp; IT Services</v>
    <v>1739</v>
    <v>-2.9520000000000002E-3</v>
    <v>-0.49</v>
    <v>PALO ALTO NETWORKS, INC.</v>
    <v>PALO ALTO NETWORKS, INC.</v>
    <v>166.39</v>
    <v>105.059</v>
    <v>165.51</v>
    <v>168.75</v>
    <v>3000 Tannery Way, SANTA CLARA, CA, 95054 US</v>
    <v>Bourse</v>
    <v>PALO ALTO NETWORKS, INC. (XNAS:PANW)</v>
    <v>30141622</v>
    <v>7674380</v>
  </rv>
  <rv s="1">
    <v>1740</v>
  </rv>
  <rv s="2">
    <fb>195.49</fb>
    <v>12</v>
  </rv>
  <rv s="2">
    <fb>196.73</fb>
    <v>12</v>
  </rv>
  <rv s="2">
    <fb>201.88</fb>
    <v>12</v>
  </rv>
  <rv s="2">
    <fb>200.03</fb>
    <v>12</v>
  </rv>
  <rv s="2">
    <fb>208.28</fb>
    <v>12</v>
  </rv>
  <rv s="2">
    <fb>205.19</fb>
    <v>12</v>
  </rv>
  <rv s="2">
    <fb>198.81</fb>
    <v>12</v>
  </rv>
  <rv s="2">
    <fb>191.03</fb>
    <v>12</v>
  </rv>
  <rv s="2">
    <fb>190.39</fb>
    <v>12</v>
  </rv>
  <rv s="2">
    <fb>188.01</fb>
    <v>12</v>
  </rv>
  <rv s="2">
    <fb>189.55</fb>
    <v>12</v>
  </rv>
  <rv s="2">
    <fb>187.5</fb>
    <v>12</v>
  </rv>
  <rv s="2">
    <fb>190.43</fb>
    <v>12</v>
  </rv>
  <rv s="2">
    <fb>183.68</fb>
    <v>12</v>
  </rv>
  <rv s="2">
    <fb>184.38</fb>
    <v>12</v>
  </rv>
  <rv s="2">
    <fb>184.28</fb>
    <v>12</v>
  </rv>
  <rv s="2">
    <fb>179.33</fb>
    <v>12</v>
  </rv>
  <rv s="2">
    <fb>173.83</fb>
    <v>12</v>
  </rv>
  <rv s="2">
    <fb>178.93</fb>
    <v>12</v>
  </rv>
  <rv s="2">
    <fb>179.48</fb>
    <v>12</v>
  </rv>
  <rv s="2">
    <fb>176.32</fb>
    <v>12</v>
  </rv>
  <rv s="2">
    <fb>182.34</fb>
    <v>12</v>
  </rv>
  <rv s="2">
    <fb>185</fb>
    <v>12</v>
  </rv>
  <rv s="2">
    <fb>184.01</fb>
    <v>12</v>
  </rv>
  <rv s="2">
    <fb>182.32</fb>
    <v>12</v>
  </rv>
  <rv s="2">
    <fb>184.79</fb>
    <v>12</v>
  </rv>
  <rv s="2">
    <fb>184.96</fb>
    <v>12</v>
  </rv>
  <rv s="2">
    <fb>174.44</fb>
    <v>12</v>
  </rv>
  <rv s="2">
    <fb>172.76</fb>
    <v>12</v>
  </rv>
  <rv s="2">
    <fb>170.64</fb>
    <v>12</v>
  </rv>
  <rv s="2">
    <fb>171.31</fb>
    <v>12</v>
  </rv>
  <rv s="2">
    <fb>165.17</fb>
    <v>12</v>
  </rv>
  <rv s="2">
    <fb>153.57</fb>
    <v>12</v>
  </rv>
  <rv s="2">
    <fb>152.44</fb>
    <v>12</v>
  </rv>
  <rv s="2">
    <fb>152.53</fb>
    <v>12</v>
  </rv>
  <rv s="2">
    <fb>173.02</fb>
    <v>12</v>
  </rv>
  <rv s="2">
    <fb>168.27</fb>
    <v>12</v>
  </rv>
  <rv s="2">
    <fb>168.34</fb>
    <v>12</v>
  </rv>
  <rv s="2">
    <fb>169.98</fb>
    <v>12</v>
  </rv>
  <rv s="2">
    <fb>173.55</fb>
    <v>12</v>
  </rv>
  <rv s="2">
    <fb>169.76</fb>
    <v>12</v>
  </rv>
  <rv s="2">
    <fb>167.69</fb>
    <v>12</v>
  </rv>
  <rv s="2">
    <fb>160.05000000000001</fb>
    <v>12</v>
  </rv>
  <rv s="2">
    <fb>163.63</fb>
    <v>12</v>
  </rv>
  <rv s="2">
    <fb>168.32</fb>
    <v>12</v>
  </rv>
  <rv s="2">
    <fb>176.04</fb>
    <v>12</v>
  </rv>
  <rv s="2">
    <fb>178.98</fb>
    <v>12</v>
  </rv>
  <rv s="2">
    <fb>181.54</fb>
    <v>12</v>
  </rv>
  <rv s="2">
    <fb>186.65</fb>
    <v>12</v>
  </rv>
  <rv s="2">
    <fb>186.93</fb>
    <v>12</v>
  </rv>
  <rv s="2">
    <fb>186.27</fb>
    <v>12</v>
  </rv>
  <rv s="2">
    <fb>188.13</fb>
    <v>12</v>
  </rv>
  <rv s="2">
    <fb>188.69</fb>
    <v>12</v>
  </rv>
  <rv s="2">
    <fb>188.14</fb>
    <v>12</v>
  </rv>
  <rv s="2">
    <fb>188.53</fb>
    <v>12</v>
  </rv>
  <rv s="2">
    <fb>193.5</fb>
    <v>12</v>
  </rv>
  <rv s="2">
    <fb>192</fb>
    <v>12</v>
  </rv>
  <rv s="2">
    <fb>190.9</fb>
    <v>12</v>
  </rv>
  <rv s="2">
    <fb>192.9</fb>
    <v>12</v>
  </rv>
  <rv s="2">
    <fb>192.98</fb>
    <v>12</v>
  </rv>
  <rv s="2">
    <fb>194.3</fb>
    <v>12</v>
  </rv>
  <rv s="2">
    <fb>194.48</fb>
    <v>12</v>
  </rv>
  <rv s="2">
    <fb>181.26</fb>
    <v>12</v>
  </rv>
  <rv s="2">
    <fb>186.14</fb>
    <v>12</v>
  </rv>
  <rv s="2">
    <fb>186.75</fb>
    <v>12</v>
  </rv>
  <rv s="2">
    <fb>187.46</fb>
    <v>12</v>
  </rv>
  <rv s="2">
    <fb>187.8</fb>
    <v>12</v>
  </rv>
  <rv s="2">
    <fb>185.82</fb>
    <v>12</v>
  </rv>
  <rv s="2">
    <fb>192.42</fb>
    <v>12</v>
  </rv>
  <rv s="2">
    <fb>194.86</fb>
    <v>12</v>
  </rv>
  <rv s="2">
    <fb>197.12</fb>
    <v>12</v>
  </rv>
  <rv s="2">
    <fb>194.07</fb>
    <v>12</v>
  </rv>
  <rv s="2">
    <fb>197.11</fb>
    <v>12</v>
  </rv>
  <rv s="2">
    <fb>199.6</fb>
    <v>12</v>
  </rv>
  <rv s="2">
    <fb>196.33</fb>
    <v>12</v>
  </rv>
  <rv s="2">
    <fb>195.95</fb>
    <v>12</v>
  </rv>
  <rv s="2">
    <fb>194.39</fb>
    <v>12</v>
  </rv>
  <rv s="2">
    <fb>197.67</fb>
    <v>12</v>
  </rv>
  <rv s="2">
    <fb>196.27</fb>
    <v>12</v>
  </rv>
  <rv s="2">
    <fb>198.11</fb>
    <v>12</v>
  </rv>
  <rv s="2">
    <fb>202.05</fb>
    <v>12</v>
  </rv>
  <rv s="2">
    <fb>199.78</fb>
    <v>12</v>
  </rv>
  <rv s="2">
    <fb>199.24</fb>
    <v>12</v>
  </rv>
  <rv s="2">
    <fb>203.32</fb>
    <v>12</v>
  </rv>
  <rv s="2">
    <fb>201.69</fb>
    <v>12</v>
  </rv>
  <rv s="2">
    <fb>204.3</fb>
    <v>12</v>
  </rv>
  <rv s="2">
    <fb>202.34</fb>
    <v>12</v>
  </rv>
  <rv s="2">
    <fb>200.57</fb>
    <v>12</v>
  </rv>
  <rv s="2">
    <fb>204.64</fb>
    <v>12</v>
  </rv>
  <rv s="2">
    <fb>197.58</fb>
    <v>12</v>
  </rv>
  <rv s="2">
    <fb>196.97</fb>
    <v>12</v>
  </rv>
  <rv s="2">
    <fb>201.82</fb>
    <v>12</v>
  </rv>
  <rv s="2">
    <fb>201.42</fb>
    <v>12</v>
  </rv>
  <rv s="2">
    <fb>203.99</fb>
    <v>12</v>
  </rv>
  <rv s="2">
    <fb>206.06</fb>
    <v>12</v>
  </rv>
  <rv s="2">
    <fb>192.07</fb>
    <v>12</v>
  </rv>
  <rv s="2">
    <fb>190.72</fb>
    <v>12</v>
  </rv>
  <rv s="2">
    <fb>192.25</fb>
    <v>12</v>
  </rv>
  <rv s="2">
    <fb>192.59</fb>
    <v>12</v>
  </rv>
  <rv s="2">
    <fb>196.28</fb>
    <v>12</v>
  </rv>
  <rv s="2">
    <fb>195.78</fb>
    <v>12</v>
  </rv>
  <rv s="2">
    <fb>199.88</fb>
    <v>12</v>
  </rv>
  <rv s="2">
    <fb>199.22</fb>
    <v>12</v>
  </rv>
  <rv s="2">
    <fb>201.16</fb>
    <v>12</v>
  </rv>
  <rv s="2">
    <fb>203.27</fb>
    <v>12</v>
  </rv>
  <rv s="2">
    <fb>204.5</fb>
    <v>12</v>
  </rv>
  <rv s="2">
    <fb>193.84</fb>
    <v>12</v>
  </rv>
  <rv s="2">
    <fb>183.03</fb>
    <v>12</v>
  </rv>
  <rv s="2">
    <fb>173.6</fb>
    <v>12</v>
  </rv>
  <rv s="2">
    <fb>172.88</fb>
    <v>12</v>
  </rv>
  <rv s="2">
    <fb>169.09</fb>
    <v>12</v>
  </rv>
  <rv s="2">
    <fb>172.89</fb>
    <v>12</v>
  </rv>
  <rv s="2">
    <fb>168.1</fb>
    <v>12</v>
  </rv>
  <rv s="2">
    <fb>167.06</fb>
    <v>12</v>
  </rv>
  <rv s="2">
    <fb>168.17</fb>
    <v>12</v>
  </rv>
  <rv s="2">
    <fb>176.86</fb>
    <v>12</v>
  </rv>
  <rv s="2">
    <fb>177.09</fb>
    <v>12</v>
  </rv>
  <rv s="2">
    <fb>176.17</fb>
    <v>12</v>
  </rv>
  <rv s="2">
    <fb>181.56</fb>
    <v>12</v>
  </rv>
  <rv s="2">
    <fb>184.43</fb>
    <v>12</v>
  </rv>
  <rv s="2">
    <fb>185.88</fb>
    <v>12</v>
  </rv>
  <rv s="2">
    <fb>184.55</fb>
    <v>12</v>
  </rv>
  <rv s="2">
    <fb>184.23</fb>
    <v>12</v>
  </rv>
  <rv s="2">
    <fb>187.61</fb>
    <v>12</v>
  </rv>
  <rv s="2">
    <fb>191.02</fb>
    <v>12</v>
  </rv>
  <rv s="2">
    <fb>190.52</fb>
    <v>12</v>
  </rv>
  <rv s="2">
    <fb>191.53</fb>
    <v>12</v>
  </rv>
  <rv s="2">
    <fb>192.35</fb>
    <v>12</v>
  </rv>
  <rv s="2">
    <fb>194.46</fb>
    <v>12</v>
  </rv>
  <rv s="2">
    <fb>197.38</fb>
    <v>12</v>
  </rv>
  <rv s="2">
    <fb>197.55</fb>
    <v>12</v>
  </rv>
  <rv s="2">
    <fb>198.33</fb>
    <v>12</v>
  </rv>
  <rv s="2">
    <fb>196.29</fb>
    <v>12</v>
  </rv>
  <rv s="2">
    <fb>201.28</fb>
    <v>12</v>
  </rv>
  <rv s="2">
    <fb>201.34</fb>
    <v>12</v>
  </rv>
  <rv s="2">
    <fb>203.12</fb>
    <v>12</v>
  </rv>
  <rv s="2">
    <fb>205.68</fb>
    <v>12</v>
  </rv>
  <rv s="2">
    <fb>208.19</fb>
    <v>12</v>
  </rv>
  <rv s="2">
    <fb>208.18</fb>
    <v>12</v>
  </rv>
  <rv s="2">
    <fb>203.25</fb>
    <v>12</v>
  </rv>
  <rv s="2">
    <fb>202.21</fb>
    <v>12</v>
  </rv>
  <rv s="2">
    <fb>202.37</fb>
    <v>12</v>
  </rv>
  <rv s="2">
    <fb>203.96</fb>
    <v>12</v>
  </rv>
  <rv s="2">
    <fb>203.62</fb>
    <v>12</v>
  </rv>
  <rv s="2">
    <fb>206.8</fb>
    <v>12</v>
  </rv>
  <rv s="2">
    <fb>209.3</fb>
    <v>12</v>
  </rv>
  <rv s="2">
    <fb>207.19</fb>
    <v>12</v>
  </rv>
  <rv s="2">
    <fb>212.58</fb>
    <v>12</v>
  </rv>
  <rv s="2">
    <fb>211.04</fb>
    <v>12</v>
  </rv>
  <rv s="2">
    <fb>217.79</fb>
    <v>12</v>
  </rv>
  <rv s="2">
    <fb>215.17</fb>
    <v>12</v>
  </rv>
  <rv s="2">
    <fb>208.55</fb>
    <v>12</v>
  </rv>
  <rv s="2">
    <fb>213.28</fb>
    <v>12</v>
  </rv>
  <rv s="2">
    <fb>207.56</fb>
    <v>12</v>
  </rv>
  <rv s="2">
    <fb>206.7</fb>
    <v>12</v>
  </rv>
  <rv s="2">
    <fb>205.51</fb>
    <v>12</v>
  </rv>
  <rv s="2">
    <fb>207.89</fb>
    <v>12</v>
  </rv>
  <rv s="2">
    <fb>211.82</fb>
    <v>12</v>
  </rv>
  <rv s="2">
    <fb>214.4</fb>
    <v>12</v>
  </rv>
  <rv s="2">
    <fb>212.42</fb>
    <v>12</v>
  </rv>
  <rv s="2">
    <fb>215.02</fb>
    <v>12</v>
  </rv>
  <rv s="2">
    <fb>217.11</fb>
    <v>12</v>
  </rv>
  <rv s="2">
    <fb>220.29</fb>
    <v>12</v>
  </rv>
  <rv s="2">
    <fb>221.38</fb>
    <v>12</v>
  </rv>
  <rv s="2">
    <fb>217.16</fb>
    <v>12</v>
  </rv>
  <rv s="2">
    <fb>218.27</fb>
    <v>12</v>
  </rv>
  <rv s="2">
    <fb>220.24</fb>
    <v>12</v>
  </rv>
  <rv s="2">
    <fb>219.23</fb>
    <v>12</v>
  </rv>
  <rv s="2">
    <fb>214.52</fb>
    <v>12</v>
  </rv>
  <rv s="2">
    <fb>213.18</fb>
    <v>12</v>
  </rv>
  <rv s="2">
    <fb>212.285</fb>
    <v>12</v>
  </rv>
  <rv s="2">
    <fb>216.54</fb>
    <v>12</v>
  </rv>
  <rv s="2">
    <fb>210.04</fb>
    <v>12</v>
  </rv>
  <rv s="2">
    <fb>204.77</fb>
    <v>12</v>
  </rv>
  <rv s="2">
    <fb>205.25</fb>
    <v>12</v>
  </rv>
  <rv s="2">
    <fb>202.9</fb>
    <v>12</v>
  </rv>
  <rv s="2">
    <fb>201</fb>
    <v>12</v>
  </rv>
  <rv s="2">
    <fb>199.9</fb>
    <v>12</v>
  </rv>
  <rv s="2">
    <fb>185.07</fb>
    <v>12</v>
  </rv>
  <rv s="2">
    <fb>182.9</fb>
    <v>12</v>
  </rv>
  <rv s="2">
    <fb>183.89</fb>
    <v>12</v>
  </rv>
  <rv s="2">
    <fb>185.35</fb>
    <v>12</v>
  </rv>
  <rv s="2">
    <fb>190.13</fb>
    <v>12</v>
  </rv>
  <rv s="2">
    <fb>187.73</fb>
    <v>12</v>
  </rv>
  <rv s="2">
    <fb>189.88</fb>
    <v>12</v>
  </rv>
  <rv s="2">
    <fb>193.63</fb>
    <v>12</v>
  </rv>
  <rv s="2">
    <fb>195.68</fb>
    <v>12</v>
  </rv>
  <rv s="2">
    <fb>198.84</fb>
    <v>12</v>
  </rv>
  <rv s="2">
    <fb>195.35</fb>
    <v>12</v>
  </rv>
  <rv s="2">
    <fb>195</fb>
    <v>12</v>
  </rv>
  <rv s="2">
    <fb>192.96</fb>
    <v>12</v>
  </rv>
  <rv s="2">
    <fb>190.36</fb>
    <v>12</v>
  </rv>
  <rv s="2">
    <fb>191.69</fb>
    <v>12</v>
  </rv>
  <rv s="2">
    <fb>187.09</fb>
    <v>12</v>
  </rv>
  <rv s="2">
    <fb>183.44</fb>
    <v>12</v>
  </rv>
  <rv s="2">
    <fb>186.88</fb>
    <v>12</v>
  </rv>
  <rv s="2">
    <fb>189.49</fb>
    <v>12</v>
  </rv>
  <rv s="2">
    <fb>187.22</fb>
    <v>12</v>
  </rv>
  <rv s="2">
    <fb>188.45</fb>
    <v>12</v>
  </rv>
  <rv s="2">
    <fb>186.85</fb>
    <v>12</v>
  </rv>
  <rv s="2">
    <fb>184.2</fb>
    <v>12</v>
  </rv>
  <rv s="2">
    <fb>179.37</fb>
    <v>12</v>
  </rv>
  <rv s="2">
    <fb>185.86</fb>
    <v>12</v>
  </rv>
  <rv s="2">
    <fb>193.9</fb>
    <v>12</v>
  </rv>
  <rv s="2">
    <fb>190.8</fb>
    <v>12</v>
  </rv>
  <rv s="2">
    <fb>189.02</fb>
    <v>12</v>
  </rv>
  <rv s="2">
    <fb>188.88</fb>
    <v>12</v>
  </rv>
  <rv s="2">
    <fb>190.85</fb>
    <v>12</v>
  </rv>
  <rv s="2">
    <fb>190.93</fb>
    <v>12</v>
  </rv>
  <rv s="2">
    <fb>187.66</fb>
    <v>12</v>
  </rv>
  <rv s="2">
    <fb>184.06</fb>
    <v>12</v>
  </rv>
  <rv s="2">
    <fb>181.47</fb>
    <v>12</v>
  </rv>
  <rv s="2">
    <fb>182.27</fb>
    <v>12</v>
  </rv>
  <rv s="2">
    <fb>180.18</fb>
    <v>12</v>
  </rv>
  <rv s="2">
    <fb>184.22</fb>
    <v>12</v>
  </rv>
  <rv s="2">
    <fb>183.5</fb>
    <v>12</v>
  </rv>
  <rv s="2">
    <fb>183.74</fb>
    <v>12</v>
  </rv>
  <rv s="2">
    <fb>176.2</fb>
    <v>12</v>
  </rv>
  <rv s="2">
    <fb>175.42</fb>
    <v>12</v>
  </rv>
  <rv s="2">
    <fb>166.24</fb>
    <v>12</v>
  </rv>
  <rv s="2">
    <fb>166.72</fb>
    <v>12</v>
  </rv>
  <rv s="2">
    <fb>154.77000000000001</fb>
    <v>12</v>
  </rv>
  <rv s="2">
    <fb>159.32</fb>
    <v>12</v>
  </rv>
  <rv s="2">
    <fb>166</fb>
    <v>12</v>
  </rv>
  <rv s="2">
    <fb>165.51</fb>
    <v>12</v>
  </rv>
  <rv s="3">
    <v>https://www.bing.com/financeapi/forcetrigger?t=a24mnm&amp;q=XNAS%3aTTWO&amp;form=skydnc</v>
    <v>Learn more on Bing</v>
  </rv>
  <rv s="4">
    <v>7</v>
    <v>8</v>
    <v>TAKE-TWO INTERACTIVE SOFTWARE, INC. (XNAS:TTWO)</v>
    <v>9</v>
    <v>10</v>
    <v>Finance</v>
    <v>11</v>
    <v>fr-FR</v>
    <v>a24mnm</v>
    <v>268435456</v>
    <v>1</v>
    <v>Avec Refinitiv</v>
    <v>XNAS</v>
    <v>185175500</v>
    <v>1993</v>
    <v>208.73</v>
    <v>188.56</v>
    <v>0.93540000000000001</v>
    <v>39018329605</v>
    <v>Nasdaq Stock Market</v>
    <v>1.39</v>
    <v>6.5969999999999996E-3</v>
    <v>205.03</v>
    <v>TTWO</v>
    <v>46064.040006539064</v>
    <v>Take-Two Interactive Software, Inc. est un développeur, éditeur et distributeur de divertissement interactif pour les consommateurs du monde entier. La Société développe et publie des produits principalement par l'intermédiaire de Rockstar Games, 2K et Zynga. Ses produits sont conçus pour les consoles de jeux, y compris, mais sans s'y limiter, Sony Computer Entertainment, Inc (Sony) PlayStation4 (PS4) et PlayStation5 (PS5), Microsoft Corporation (Microsoft) Xbox One (Xbox One) et Xbox Series XS (Xbox Series XS), Nintendo Switch (Switch), ainsi que les mobiles, y compris les smartphones et tablettes, et les ordinateurs personnels (PC). Elle fournit ses produits via la vente au détail physique, le téléchargement numérique, les plateformes en ligne et les services de streaming cloud. Elle vend des titres de logiciels à la fois numériquement et physiquement par le biais de relations directes avec des vitrines numériques et des partenaires de plate-forme, de grands clients de détail et des distributeurs tiers. Il vend également de la publicité dans un certain nombre de ses jeux, principalement dans mobile.</v>
    <v>USD</v>
    <v>12928</v>
    <v>XNAS</v>
    <v>213.53</v>
    <v>264.78500000000003</v>
    <v>Software &amp; IT Services</v>
    <v>1967</v>
    <v>2.7703000000000002E-2</v>
    <v>5.68</v>
    <v>TAKE-TWO INTERACTIVE SOFTWARE, INC.</v>
    <v>TAKE-TWO INTERACTIVE SOFTWARE, INC.</v>
    <v>212.49</v>
    <v>0</v>
    <v>210.71</v>
    <v>212.1</v>
    <v>110 West 44Th Street, NEW YORK, NY, 10036 US</v>
    <v>Bourse</v>
    <v>TAKE-TWO INTERACTIVE SOFTWARE, INC. (XNAS:TTWO)</v>
    <v>4145203</v>
    <v>2373468</v>
  </rv>
  <rv s="1">
    <v>1968</v>
  </rv>
  <rv s="3">
    <v>https://www.bing.com/financeapi/forcetrigger?t=bnstim&amp;q=XFRA%3a3CP&amp;form=skydnc</v>
    <v>Learn more on Bing</v>
  </rv>
  <rv s="6">
    <v>19</v>
    <v>20</v>
    <v>XIAOMI CORPORATION (XFRA:3CP)</v>
    <v>9</v>
    <v>21</v>
    <v>Finance</v>
    <v>17</v>
    <v>fr-FR</v>
    <v>bnstim</v>
    <v>268435456</v>
    <v>1</v>
    <v>Avec Refinitiv</v>
    <v>XFRA</v>
    <v>26144460000</v>
    <v>2010</v>
    <v>3.8205</v>
    <v>0.96619999999999995</v>
    <v>1.0125</v>
    <v>989315100000</v>
    <v>Deutsche Boerse AG</v>
    <v>3.8439999999999999</v>
    <v>3CP</v>
    <v>46063.878472222219</v>
    <v>XIAOMI CORPORATION est une société d’investissement basée en Chine dont les activités principales sont la recherche, le développement et la vente de smartphones, l’Internet des objets (IdO) et les produits de style de vie, la fourniture de services Internet et les activités d’investissement. La Société exerce principalement ses activités dans quatre secteurs. Le segment Smartphone est engagé dans la vente de smartphones. Le segment des produits d’IdO et de mode de vie se consacre à la vente d’autres produits internes, notamment les téléviseurs intelligents (téléviseurs), les ordinateurs portables, les haut-parleurs à intelligence artificielle (IA) et les routeurs intelligents; des produits de l'écosystème y compris l'IdO et d'autres produits matériels intelligents, ainsi que certains produits de style de vie. Le secteur des services Internet fournit des services de publicité et des services Internet à valeur ajoutée. Le secteur Autres est engagé dans la fourniture de services de réparation pour ses produits matériels. La Société distribue ses produits sur le marché intérieur et sur les marchés étrangers.</v>
    <v>EUR</v>
    <v>56231</v>
    <v>XFRA</v>
    <v>3.8620000000000001</v>
    <v>7.3979999999999997</v>
    <v>Computers, Phones &amp; Household Electronics</v>
    <v>1970</v>
    <v>1.5609999999999999E-3</v>
    <v>6.0000000000000001E-3</v>
    <v>XIAOMI CORPORATION</v>
    <v>XIAOMI CORPORATION</v>
    <v>3.8620000000000001</v>
    <v>18.5</v>
    <v>3.85</v>
    <v>Xiaomi Campus, Anningzhuang Road, Haidian District, BEIJING, BEIJING CN</v>
    <v>Bourse</v>
    <v>XIAOMI CORPORATION (XFRA:3CP)</v>
    <v>33263</v>
    <v>155574570</v>
  </rv>
  <rv s="1">
    <v>1971</v>
  </rv>
  <rv s="3">
    <v>https://www.bing.com/financeapi/forcetrigger?t=ae7w1h&amp;q=XPAR%3aBNP&amp;form=skydnc</v>
    <v>Learn more on Bing</v>
  </rv>
  <rv s="6">
    <v>19</v>
    <v>20</v>
    <v>BNP PARIBAS SA (XPAR:BNP)</v>
    <v>9</v>
    <v>22</v>
    <v>Finance</v>
    <v>17</v>
    <v>fr-FR</v>
    <v>ae7w1h</v>
    <v>268435456</v>
    <v>1</v>
    <v>Avec Refinitiv</v>
    <v>XPAR</v>
    <v>1101601000</v>
    <v>1966</v>
    <v>92.98</v>
    <v>61</v>
    <v>1.1343000000000001</v>
    <v>97048590000</v>
    <v>Euronext Paris</v>
    <v>94.39</v>
    <v>BNP</v>
    <v>46063.708333333336</v>
    <v>BNP Paribas SA est une institution bancaire internationale basée en France. La société organise ses activités en trois grands domaines d’activité : les services bancaires aux entreprises et institutionnels (CIB), les services bancaires aux particuliers et aux entreprises (CPBS) et les services de protection des investissements (IPS). La CIB comprend les services bancaires mondiaux, les marchés mondiaux et les services de valeurs mobilières. CBPS couvre les services bancaires commerciaux et personnels en France, en Belgique, en Italie, au Luxembourg et dans la zone euro-méditerranéenne. IPS fournit des services tels que la gestion de patrimoine, la gestion d’actifs, l’immobilier et les placements principaux.</v>
    <v>EUR</v>
    <v>177952</v>
    <v>XPAR</v>
    <v>95.01</v>
    <v>95.5</v>
    <v>Banking Services</v>
    <v>1973</v>
    <v>-1.4408000000000001E-2</v>
    <v>-1.36</v>
    <v>BNP PARIBAS SA</v>
    <v>BNP PARIBAS SA</v>
    <v>94.63</v>
    <v>9.0688999999999993</v>
    <v>93.03</v>
    <v>16 Boulevard Des Italiens, Paris 9, PARIS, ILE-DE-FRANCE, 75009 FR</v>
    <v>Bourse</v>
    <v>BNP PARIBAS SA (XPAR:BNP)</v>
    <v>2012757</v>
    <v>2606940</v>
  </rv>
  <rv s="1">
    <v>1974</v>
  </rv>
  <rv s="3">
    <v>https://www.bing.com/financeapi/forcetrigger?t=c2rtrw&amp;q=XFRA%3aPPFB&amp;form=skydnc</v>
    <v>Learn more on Bing</v>
  </rv>
  <rv s="7">
    <v>23</v>
    <v>24</v>
    <v>ISHARES PHYSICAL GOLD ETC (XFRA:PPFB)</v>
    <v>15</v>
    <v>25</v>
    <v>Finance</v>
    <v>17</v>
    <v>fr-FR</v>
    <v>c2rtrw</v>
    <v>268435456</v>
    <v>1</v>
    <v>Avec Refinitiv</v>
    <v>XFRA</v>
    <v>81.584999999999994</v>
    <v>Deutsche Boerse AG</v>
    <v>82.875</v>
    <v>PPFB</v>
    <v>46063.878472222219</v>
    <v>EUR</v>
    <v>82.35</v>
    <v>1976</v>
    <v>-1.4298999999999999E-2</v>
    <v>-1.1850000000000001</v>
    <v>ISHARES PHYSICAL GOLD ETC</v>
    <v>81.91</v>
    <v>81.69</v>
    <v>Fonds coté en bourse</v>
    <v>ISHARES PHYSICAL GOLD ETC (XFRA:PPFB)</v>
    <v>1196</v>
  </rv>
  <rv s="1">
    <v>1977</v>
  </rv>
  <rv s="8">
    <v>26</v>
    <v>a1waa2</v>
    <v>Daily</v>
    <v>45699</v>
    <v>46064</v>
    <v>0</v>
    <v>1</v>
    <v>639062784000000000,639063824759733886,0</v>
    <v>0</v>
    <v>a1waa2</v>
    <v>XNYS:JPM</v>
    <v>1</v>
  </rv>
  <rv s="8">
    <v>26</v>
    <v>a1nz8m</v>
    <v>Daily</v>
    <v>45699</v>
    <v>46064</v>
    <v>0</v>
    <v>1</v>
    <v>639062784000000000,639063821028157181,0</v>
    <v>0</v>
    <v>a1nz8m</v>
    <v>XNAS:AVGO</v>
    <v>2</v>
  </rv>
  <rv s="8">
    <v>26</v>
    <v>a1u3p2</v>
    <v>Daily</v>
    <v>45699</v>
    <v>46064</v>
    <v>0</v>
    <v>1</v>
    <v>639062784000000000,639063819916120216,0</v>
    <v>0</v>
    <v>a1u3p2</v>
    <v>XNAS:GOOG</v>
    <v>3</v>
  </rv>
  <rv s="8">
    <v>26</v>
    <v>a1nhlh</v>
    <v>Daily</v>
    <v>45699</v>
    <v>46064</v>
    <v>0</v>
    <v>1</v>
    <v>639062784000000000,639063817510484387,0</v>
    <v>0</v>
    <v>a1nhlh</v>
    <v>XNAS:AMZN</v>
    <v>4</v>
  </rv>
  <rv s="8">
    <v>26</v>
    <v>a1zgm7</v>
    <v>Daily</v>
    <v>45699</v>
    <v>46064</v>
    <v>0</v>
    <v>1</v>
    <v>639062784000000000,639063817510674078,0</v>
    <v>0</v>
    <v>a1zgm7</v>
    <v>XNAS:PANW</v>
    <v>5</v>
  </rv>
  <rv s="8">
    <v>26</v>
    <v>a1yv52</v>
    <v>Daily</v>
    <v>45699</v>
    <v>46064</v>
    <v>0</v>
    <v>1</v>
    <v>639062784000000000,639063817510841937,0</v>
    <v>0</v>
    <v>a1yv52</v>
    <v>XNAS:NVDA</v>
    <v>6</v>
  </rv>
  <rv s="8">
    <v>27</v>
    <v>aflhlh</v>
    <v>Daily</v>
    <v>45699</v>
    <v>46064</v>
    <v>0</v>
    <v>1</v>
    <v>639062784000000000,639063817510315448,0</v>
    <v>7</v>
    <v>aflhlh</v>
    <v>XFRA:SXR8</v>
    <v>8</v>
  </rv>
</rvData>
</file>

<file path=xl/richData/rdrichvaluestructure.xml><?xml version="1.0" encoding="utf-8"?>
<rvStructures xmlns="http://schemas.microsoft.com/office/spreadsheetml/2017/richdata" count="9">
  <s t="_linkedentitycore">
    <k n="_CanonicalPropertyNames" t="spb"/>
    <k n="_Display" t="spb"/>
    <k n="_DisplayString" t="s"/>
    <k n="_Flags" t="spb"/>
    <k n="_Format" t="spb"/>
    <k n="_Icon" t="s"/>
    <k n="_SubLabel" t="spb"/>
    <k n="%EntityCulture" t="s"/>
    <k n="%EntityId" t="s"/>
    <k n="%EntityServiceId"/>
    <k n="%IsRefreshable" t="b"/>
    <k n="%ProviderInfo" t="s"/>
    <k n="Bas"/>
    <k n="Bas depuis 52 semaines"/>
    <k n="Clôture précédente"/>
    <k n="Code mnémonique" t="s"/>
    <k n="De la devise" t="s"/>
    <k n="Dernière heure d'échange"/>
    <k n="Devise" t="s"/>
    <k n="Haut"/>
    <k n="Haut depuis 52 semaines"/>
    <k n="Modification (%)"/>
    <k n="Modifier"/>
    <k n="Nom" t="s"/>
    <k n="Ouvrir"/>
    <k n="Prix"/>
    <k n="Type d'instrument" t="s"/>
    <k n="UniqueName" t="s"/>
  </s>
  <s t="_linkedentity">
    <k n="%cvi" t="r"/>
  </s>
  <s t="_formattednumber">
    <k n="_Format" t="spb"/>
  </s>
  <s t="_hyperlink">
    <k n="Address" t="s"/>
    <k n="Text" t="s"/>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Actions en circulation"/>
    <k n="Année de constitution"/>
    <k n="Bas"/>
    <k n="Bas depuis 52 semaines"/>
    <k n="Bêta"/>
    <k n="Capitalisation boursière"/>
    <k n="Change" t="s"/>
    <k n="Changement (horaires prolongés)"/>
    <k n="Changement en % (horaires prolongés)"/>
    <k n="Clôture précédente"/>
    <k n="Code mnémonique" t="s"/>
    <k n="Dernière heure d'échange"/>
    <k n="Description" t="s"/>
    <k n="Devise" t="s"/>
    <k n="Employés"/>
    <k n="ExchangeID" t="s"/>
    <k n="Haut"/>
    <k n="Haut depuis 52 semaines"/>
    <k n="Industrie" t="s"/>
    <k n="LearnMoreOnLink" t="r"/>
    <k n="Modification (%)"/>
    <k n="Modifier"/>
    <k n="Nom" t="s"/>
    <k n="Nom officiel" t="s"/>
    <k n="Ouvrir"/>
    <k n="P/E"/>
    <k n="Prix"/>
    <k n="Prix (horaires prolongés)"/>
    <k n="Sièges sociaux" t="s"/>
    <k n="Type d'instrument" t="s"/>
    <k n="UniqueName" t="s"/>
    <k n="Volume"/>
    <k n="Volume moyen"/>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Bas"/>
    <k n="Bas depuis 52 semaines"/>
    <k n="Capitalisation boursière"/>
    <k n="Change" t="s"/>
    <k n="Clôture précédente"/>
    <k n="Code mnémonique" t="s"/>
    <k n="Dernière heure d'échange"/>
    <k n="Devise" t="s"/>
    <k n="Haut"/>
    <k n="Haut depuis 52 semaines"/>
    <k n="LearnMoreOnLink" t="r"/>
    <k n="Modification (%)"/>
    <k n="Modifier"/>
    <k n="Nom" t="s"/>
    <k n="Ouvrir"/>
    <k n="Prix"/>
    <k n="Taux de dépenses"/>
    <k n="Type d'instrument" t="s"/>
    <k n="UniqueName" t="s"/>
    <k n="Volume"/>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Actions en circulation"/>
    <k n="Année de constitution"/>
    <k n="Bas"/>
    <k n="Bas depuis 52 semaines"/>
    <k n="Bêta"/>
    <k n="Capitalisation boursière"/>
    <k n="Change" t="s"/>
    <k n="Clôture précédente"/>
    <k n="Code mnémonique" t="s"/>
    <k n="Dernière heure d'échange"/>
    <k n="Description" t="s"/>
    <k n="Devise" t="s"/>
    <k n="Employés"/>
    <k n="ExchangeID" t="s"/>
    <k n="Haut"/>
    <k n="Haut depuis 52 semaines"/>
    <k n="Industrie" t="s"/>
    <k n="LearnMoreOnLink" t="r"/>
    <k n="Modification (%)"/>
    <k n="Modifier"/>
    <k n="Nom" t="s"/>
    <k n="Nom officiel" t="s"/>
    <k n="Ouvrir"/>
    <k n="P/E"/>
    <k n="Prix"/>
    <k n="Sièges sociaux" t="s"/>
    <k n="Type d'instrument" t="s"/>
    <k n="UniqueName" t="s"/>
    <k n="Volume"/>
    <k n="Volume moyen"/>
  </s>
  <s t="_linkedentitycore">
    <k n="_CanonicalPropertyNames" t="spb"/>
    <k n="_Display" t="spb"/>
    <k n="_DisplayString" t="s"/>
    <k n="_Flags" t="spb"/>
    <k n="_Format" t="spb"/>
    <k n="_Icon" t="s"/>
    <k n="_SubLabel" t="spb"/>
    <k n="%EntityCulture" t="s"/>
    <k n="%EntityId" t="s"/>
    <k n="%EntityServiceId"/>
    <k n="%IsRefreshable" t="b"/>
    <k n="%ProviderInfo" t="s"/>
    <k n="Abréviation de change" t="s"/>
    <k n="Bas"/>
    <k n="Change" t="s"/>
    <k n="Clôture précédente"/>
    <k n="Code mnémonique" t="s"/>
    <k n="Dernière heure d'échange"/>
    <k n="Devise" t="s"/>
    <k n="Haut"/>
    <k n="LearnMoreOnLink" t="r"/>
    <k n="Modification (%)"/>
    <k n="Modifier"/>
    <k n="Nom" t="s"/>
    <k n="Ouvrir"/>
    <k n="Prix"/>
    <k n="Type d'instrument" t="s"/>
    <k n="UniqueName" t="s"/>
    <k n="Volume"/>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5">
    <a count="28">
      <v t="s">%EntityServiceId</v>
      <v t="s">_Format</v>
      <v t="s">%IsRefreshable</v>
      <v t="s">_CanonicalPropertyNames</v>
      <v t="s">%EntityCulture</v>
      <v t="s">%EntityId</v>
      <v t="s">_Icon</v>
      <v t="s">_Display</v>
      <v t="s">Nom</v>
      <v t="s">Prix</v>
      <v t="s">_SubLabel</v>
      <v t="s">Dernière heure d'échange</v>
      <v t="s">Code mnémonique</v>
      <v t="s">Modifier</v>
      <v t="s">Modification (%)</v>
      <v t="s">Devise</v>
      <v t="s">De la devise</v>
      <v t="s">Clôture précédente</v>
      <v t="s">Ouvrir</v>
      <v t="s">Haut</v>
      <v t="s">Bas</v>
      <v t="s">Haut depuis 52 semaines</v>
      <v t="s">Bas depuis 52 semaines</v>
      <v t="s">Type d'instrument</v>
      <v t="s">_Flags</v>
      <v t="s">UniqueName</v>
      <v t="s">_DisplayString</v>
      <v t="s">%ProviderInfo</v>
    </a>
    <a count="46">
      <v t="s">%EntityServiceId</v>
      <v t="s">_Format</v>
      <v t="s">%IsRefreshable</v>
      <v t="s">_CanonicalPropertyNames</v>
      <v t="s">%EntityCulture</v>
      <v t="s">%EntityId</v>
      <v t="s">_Icon</v>
      <v t="s">_Display</v>
      <v t="s">Nom</v>
      <v t="s">_SubLabel</v>
      <v t="s">Prix</v>
      <v t="s">Prix (horaires prolongés)</v>
      <v t="s">Change</v>
      <v t="s">Nom officiel</v>
      <v t="s">Dernière heure d'échange</v>
      <v t="s">Code mnémonique</v>
      <v t="s">Abréviation de change</v>
      <v t="s">Modifier</v>
      <v t="s">Changement (horaires prolongés)</v>
      <v t="s">Modification (%)</v>
      <v t="s">Changement en % (horaires prolongés)</v>
      <v t="s">Devise</v>
      <v t="s">Clôture précédente</v>
      <v t="s">Ouvrir</v>
      <v t="s">Haut</v>
      <v t="s">Bas</v>
      <v t="s">Haut depuis 52 semaines</v>
      <v t="s">Bas depuis 52 semaines</v>
      <v t="s">Volume</v>
      <v t="s">Volume moyen</v>
      <v t="s">Capitalisation boursière</v>
      <v t="s">Bêta</v>
      <v t="s">P/E</v>
      <v t="s">Actions en circulation</v>
      <v t="s">Description</v>
      <v t="s">Employés</v>
      <v t="s">Sièges sociaux</v>
      <v t="s">Industrie</v>
      <v t="s">Type d'instrument</v>
      <v t="s">Année de constitution</v>
      <v t="s">_Flags</v>
      <v t="s">UniqueName</v>
      <v t="s">_DisplayString</v>
      <v t="s">LearnMoreOnLink</v>
      <v t="s">ExchangeID</v>
      <v t="s">%ProviderInfo</v>
    </a>
    <a count="33">
      <v t="s">%EntityServiceId</v>
      <v t="s">_Format</v>
      <v t="s">%IsRefreshable</v>
      <v t="s">_CanonicalPropertyNames</v>
      <v t="s">%EntityCulture</v>
      <v t="s">%EntityId</v>
      <v t="s">_Icon</v>
      <v t="s">_Display</v>
      <v t="s">Nom</v>
      <v t="s">_SubLabel</v>
      <v t="s">Prix</v>
      <v t="s">Change</v>
      <v t="s">Dernière heure d'échange</v>
      <v t="s">Code mnémonique</v>
      <v t="s">Abréviation de change</v>
      <v t="s">Modifier</v>
      <v t="s">Taux de dépenses</v>
      <v t="s">Modification (%)</v>
      <v t="s">Devise</v>
      <v t="s">Clôture précédente</v>
      <v t="s">Ouvrir</v>
      <v t="s">Haut</v>
      <v t="s">Bas</v>
      <v t="s">Haut depuis 52 semaines</v>
      <v t="s">Bas depuis 52 semaines</v>
      <v t="s">Volume</v>
      <v t="s">Capitalisation boursière</v>
      <v t="s">Type d'instrument</v>
      <v t="s">_Flags</v>
      <v t="s">UniqueName</v>
      <v t="s">_DisplayString</v>
      <v t="s">LearnMoreOnLink</v>
      <v t="s">%ProviderInfo</v>
    </a>
    <a count="43">
      <v t="s">%EntityServiceId</v>
      <v t="s">_Format</v>
      <v t="s">%IsRefreshable</v>
      <v t="s">_CanonicalPropertyNames</v>
      <v t="s">%EntityCulture</v>
      <v t="s">%EntityId</v>
      <v t="s">_Icon</v>
      <v t="s">_Display</v>
      <v t="s">Nom</v>
      <v t="s">_SubLabel</v>
      <v t="s">Prix</v>
      <v t="s">Change</v>
      <v t="s">Nom officiel</v>
      <v t="s">Dernière heure d'échange</v>
      <v t="s">Code mnémonique</v>
      <v t="s">Abréviation de change</v>
      <v t="s">Modifier</v>
      <v t="s">Modification (%)</v>
      <v t="s">Devise</v>
      <v t="s">Clôture précédente</v>
      <v t="s">Ouvrir</v>
      <v t="s">Haut</v>
      <v t="s">Bas</v>
      <v t="s">Haut depuis 52 semaines</v>
      <v t="s">Bas depuis 52 semaines</v>
      <v t="s">Volume</v>
      <v t="s">Volume moyen</v>
      <v t="s">Capitalisation boursière</v>
      <v t="s">Bêta</v>
      <v t="s">P/E</v>
      <v t="s">Actions en circulation</v>
      <v t="s">Description</v>
      <v t="s">Employés</v>
      <v t="s">Sièges sociaux</v>
      <v t="s">Industrie</v>
      <v t="s">Type d'instrument</v>
      <v t="s">Année de constitution</v>
      <v t="s">_Flags</v>
      <v t="s">UniqueName</v>
      <v t="s">_DisplayString</v>
      <v t="s">LearnMoreOnLink</v>
      <v t="s">ExchangeID</v>
      <v t="s">%ProviderInfo</v>
    </a>
    <a count="29">
      <v t="s">%EntityServiceId</v>
      <v t="s">_Format</v>
      <v t="s">%IsRefreshable</v>
      <v t="s">_CanonicalPropertyNames</v>
      <v t="s">%EntityCulture</v>
      <v t="s">%EntityId</v>
      <v t="s">_Icon</v>
      <v t="s">_Display</v>
      <v t="s">Nom</v>
      <v t="s">_SubLabel</v>
      <v t="s">Prix</v>
      <v t="s">Change</v>
      <v t="s">Dernière heure d'échange</v>
      <v t="s">Code mnémonique</v>
      <v t="s">Abréviation de change</v>
      <v t="s">Modifier</v>
      <v t="s">Modification (%)</v>
      <v t="s">Devise</v>
      <v t="s">Clôture précédente</v>
      <v t="s">Ouvrir</v>
      <v t="s">Haut</v>
      <v t="s">Bas</v>
      <v t="s">Volume</v>
      <v t="s">Type d'instrument</v>
      <v t="s">_Flags</v>
      <v t="s">UniqueName</v>
      <v t="s">_DisplayString</v>
      <v t="s">LearnMoreOnLink</v>
      <v t="s">%ProviderInfo</v>
    </a>
  </spbArrays>
  <spbData count="28">
    <spb s="0">
      <v>Low</v>
      <v>Name</v>
      <v>High</v>
      <v>Price</v>
      <v>Currency</v>
      <v>Open</v>
      <v>Change</v>
      <v>UniqueName</v>
      <v>From currency</v>
      <v>%ProviderInfo</v>
      <v>Ticker symbol</v>
      <v>Change (%)</v>
      <v>Instrument type</v>
      <v>Previous close</v>
      <v>52 week low</v>
      <v>52 week high</v>
      <v>Last trade time</v>
    </spb>
    <spb s="1">
      <v>0</v>
      <v>Name</v>
    </spb>
    <spb s="2">
      <v>0</v>
      <v>0</v>
      <v>0</v>
    </spb>
    <spb s="3">
      <v>2</v>
      <v>2</v>
    </spb>
    <spb s="4">
      <v>1</v>
      <v>2</v>
      <v>1</v>
      <v>1</v>
      <v>1</v>
      <v>1</v>
      <v>3</v>
      <v>4</v>
      <v>1</v>
      <v>1</v>
      <v>1</v>
      <v>5</v>
    </spb>
    <spb s="5">
      <v>GMT</v>
    </spb>
    <spb s="6">
      <v>6</v>
    </spb>
    <spb s="7">
      <v>Low</v>
      <v>Name</v>
      <v>P/E</v>
      <v>Beta</v>
      <v>High</v>
      <v>Price</v>
      <v>Exchange</v>
      <v>Currency</v>
      <v>Open</v>
      <v>Volume</v>
      <v>Employees</v>
      <v>Change</v>
      <v>Industry</v>
      <v>ExchangeID</v>
      <v>UniqueName</v>
      <v>Description</v>
      <v>Official name</v>
      <v>Volume average</v>
      <v>%ProviderInfo</v>
      <v>Headquarters</v>
      <v>Ticker symbol</v>
      <v>LearnMoreOnLink</v>
      <v>Change (%)</v>
      <v>Instrument type</v>
      <v>Previous close</v>
      <v>Exchange abbreviation</v>
      <v>Year incorporated</v>
      <v>Shares outstanding</v>
      <v>52 week low</v>
      <v>52 week high</v>
      <v>Market cap</v>
      <v>Last trade time</v>
      <v>Price (Extended hours)</v>
      <v>Change (Extended hours)</v>
      <v>Change % (Extended hours)</v>
    </spb>
    <spb s="8">
      <v>1</v>
      <v>Name</v>
      <v>LearnMoreOnLink</v>
    </spb>
    <spb s="9">
      <v>2</v>
      <v>2</v>
      <v>2</v>
      <v>2</v>
    </spb>
    <spb s="10">
      <v>1</v>
      <v>2</v>
      <v>7</v>
      <v>7</v>
      <v>1</v>
      <v>1</v>
      <v>1</v>
      <v>8</v>
      <v>8</v>
      <v>1</v>
      <v>8</v>
      <v>3</v>
      <v>4</v>
      <v>1</v>
      <v>9</v>
      <v>8</v>
      <v>1</v>
      <v>1</v>
      <v>10</v>
      <v>5</v>
      <v>1</v>
      <v>1</v>
      <v>3</v>
    </spb>
    <spb s="11">
      <v xml:space="preserve">à la clôture </v>
      <v xml:space="preserve">depuis la clôture précédente </v>
      <v>Source: Nasdaq</v>
      <v xml:space="preserve">depuis la clôture précédente </v>
      <v>GMT</v>
      <v>Différé de 15 minutes</v>
      <v xml:space="preserve">depuis la clôture </v>
      <v xml:space="preserve">depuis la clôture </v>
    </spb>
    <spb s="6">
      <v>1</v>
    </spb>
    <spb s="12">
      <v>Low</v>
      <v>Name</v>
      <v>High</v>
      <v>Price</v>
      <v>Exchange</v>
      <v>Currency</v>
      <v>Open</v>
      <v>Volume</v>
      <v>Change</v>
      <v>UniqueName</v>
      <v>%ProviderInfo</v>
      <v>Ticker symbol</v>
      <v>LearnMoreOnLink</v>
      <v>Change (%)</v>
      <v>Expense ratio</v>
      <v>Instrument type</v>
      <v>Previous close</v>
      <v>Exchange abbreviation</v>
      <v>52 week low</v>
      <v>52 week high</v>
      <v>Market cap</v>
      <v>Last trade time</v>
    </spb>
    <spb s="8">
      <v>2</v>
      <v>Name</v>
      <v>LearnMoreOnLink</v>
    </spb>
    <spb s="13">
      <v>2</v>
      <v>2</v>
      <v>2</v>
    </spb>
    <spb s="14">
      <v>11</v>
      <v>2</v>
      <v>11</v>
      <v>11</v>
      <v>11</v>
      <v>8</v>
      <v>11</v>
      <v>3</v>
      <v>3</v>
      <v>4</v>
      <v>11</v>
      <v>11</v>
      <v>11</v>
      <v>12</v>
      <v>5</v>
    </spb>
    <spb s="15">
      <v>Différé de 15 minutes</v>
      <v xml:space="preserve">depuis la clôture précédente </v>
      <v xml:space="preserve">depuis la clôture précédente </v>
      <v>GMT</v>
    </spb>
    <spb s="6">
      <v>11</v>
    </spb>
    <spb s="16">
      <v>Low</v>
      <v>Name</v>
      <v>P/E</v>
      <v>Beta</v>
      <v>High</v>
      <v>Price</v>
      <v>Exchange</v>
      <v>Currency</v>
      <v>Open</v>
      <v>Volume</v>
      <v>Employees</v>
      <v>Change</v>
      <v>Industry</v>
      <v>ExchangeID</v>
      <v>UniqueName</v>
      <v>Description</v>
      <v>Official name</v>
      <v>Volume average</v>
      <v>%ProviderInfo</v>
      <v>Headquarters</v>
      <v>Ticker symbol</v>
      <v>LearnMoreOnLink</v>
      <v>Change (%)</v>
      <v>Instrument type</v>
      <v>Previous close</v>
      <v>Exchange abbreviation</v>
      <v>Year incorporated</v>
      <v>Shares outstanding</v>
      <v>52 week low</v>
      <v>52 week high</v>
      <v>Market cap</v>
      <v>Last trade time</v>
    </spb>
    <spb s="8">
      <v>3</v>
      <v>Name</v>
      <v>LearnMoreOnLink</v>
    </spb>
    <spb s="17">
      <v>11</v>
      <v>2</v>
      <v>7</v>
      <v>7</v>
      <v>11</v>
      <v>11</v>
      <v>11</v>
      <v>8</v>
      <v>8</v>
      <v>11</v>
      <v>8</v>
      <v>3</v>
      <v>4</v>
      <v>11</v>
      <v>9</v>
      <v>8</v>
      <v>11</v>
      <v>11</v>
      <v>13</v>
      <v>5</v>
    </spb>
    <spb s="17">
      <v>11</v>
      <v>2</v>
      <v>7</v>
      <v>7</v>
      <v>11</v>
      <v>11</v>
      <v>11</v>
      <v>8</v>
      <v>8</v>
      <v>11</v>
      <v>8</v>
      <v>3</v>
      <v>4</v>
      <v>11</v>
      <v>9</v>
      <v>8</v>
      <v>11</v>
      <v>11</v>
      <v>12</v>
      <v>5</v>
    </spb>
    <spb s="18">
      <v>Low</v>
      <v>Name</v>
      <v>High</v>
      <v>Price</v>
      <v>Exchange</v>
      <v>Currency</v>
      <v>Open</v>
      <v>Volume</v>
      <v>Change</v>
      <v>UniqueName</v>
      <v>%ProviderInfo</v>
      <v>Ticker symbol</v>
      <v>LearnMoreOnLink</v>
      <v>Change (%)</v>
      <v>Instrument type</v>
      <v>Previous close</v>
      <v>Exchange abbreviation</v>
      <v>Last trade time</v>
    </spb>
    <spb s="8">
      <v>4</v>
      <v>Name</v>
      <v>LearnMoreOnLink</v>
    </spb>
    <spb s="19">
      <v>11</v>
      <v>2</v>
      <v>11</v>
      <v>11</v>
      <v>11</v>
      <v>8</v>
      <v>11</v>
      <v>3</v>
      <v>4</v>
      <v>11</v>
      <v>5</v>
    </spb>
    <spb s="20">
      <v>6</v>
      <v>1</v>
    </spb>
    <spb s="20">
      <v>6</v>
      <v>11</v>
    </spb>
  </spbData>
</supportingPropertyBags>
</file>

<file path=xl/richData/rdsupportingpropertybagstructure.xml><?xml version="1.0" encoding="utf-8"?>
<spbStructures xmlns="http://schemas.microsoft.com/office/spreadsheetml/2017/richdata2" count="21">
  <s>
    <k n="Bas" t="s"/>
    <k n="Nom" t="s"/>
    <k n="Haut" t="s"/>
    <k n="Prix" t="s"/>
    <k n="Devise" t="s"/>
    <k n="Ouvrir" t="s"/>
    <k n="Modifier" t="s"/>
    <k n="UniqueName" t="s"/>
    <k n="De la devise" t="s"/>
    <k n="%ProviderInfo" t="s"/>
    <k n="Code mnémonique" t="s"/>
    <k n="Modification (%)" t="s"/>
    <k n="Type d'instrument" t="s"/>
    <k n="Clôture précédente" t="s"/>
    <k n="Bas depuis 52 semaines" t="s"/>
    <k n="Haut depuis 52 semaines" t="s"/>
    <k n="Dernière heure d'échange" t="s"/>
  </s>
  <s>
    <k n="^Order" t="spba"/>
    <k n="TitleProperty" t="s"/>
  </s>
  <s>
    <k n="ShowInCardView" t="b"/>
    <k n="ShowInDotNotation" t="b"/>
    <k n="ShowInAutoComplete" t="b"/>
  </s>
  <s>
    <k n="UniqueName" t="spb"/>
    <k n="`%ProviderInfo" t="spb"/>
  </s>
  <s>
    <k n="Bas" t="i"/>
    <k n="Nom" t="i"/>
    <k n="Haut" t="i"/>
    <k n="Prix" t="i"/>
    <k n="Ouvrir" t="i"/>
    <k n="Modifier" t="i"/>
    <k n="Modification (%)" t="i"/>
    <k n="`%EntityServiceId" t="i"/>
    <k n="Clôture précédente" t="i"/>
    <k n="Bas depuis 52 semaines" t="i"/>
    <k n="Haut depuis 52 semaines" t="i"/>
    <k n="Dernière heure d'échange" t="i"/>
  </s>
  <s>
    <k n="Dernière heure d'échange" t="s"/>
  </s>
  <s>
    <k n="_Self" t="i"/>
  </s>
  <s>
    <k n="Bas" t="s"/>
    <k n="Nom" t="s"/>
    <k n="P/E" t="s"/>
    <k n="Bêta" t="s"/>
    <k n="Haut" t="s"/>
    <k n="Prix" t="s"/>
    <k n="Change" t="s"/>
    <k n="Devise" t="s"/>
    <k n="Ouvrir" t="s"/>
    <k n="Volume" t="s"/>
    <k n="Employés" t="s"/>
    <k n="Modifier" t="s"/>
    <k n="Industrie" t="s"/>
    <k n="ExchangeID" t="s"/>
    <k n="UniqueName" t="s"/>
    <k n="Description" t="s"/>
    <k n="Nom officiel" t="s"/>
    <k n="Volume moyen" t="s"/>
    <k n="%ProviderInfo" t="s"/>
    <k n="Sièges sociaux" t="s"/>
    <k n="Code mnémonique" t="s"/>
    <k n="LearnMoreOnLink" t="s"/>
    <k n="Modification (%)" t="s"/>
    <k n="Type d'instrument" t="s"/>
    <k n="Clôture précédente" t="s"/>
    <k n="Abréviation de change" t="s"/>
    <k n="Année de constitution" t="s"/>
    <k n="Actions en circulation" t="s"/>
    <k n="Bas depuis 52 semaines" t="s"/>
    <k n="Haut depuis 52 semaines" t="s"/>
    <k n="Capitalisation boursière" t="s"/>
    <k n="Dernière heure d'échange" t="s"/>
    <k n="Prix (horaires prolongés)" t="s"/>
    <k n="Changement (horaires prolongés)" t="s"/>
    <k n="Changement en % (horaires prolongés)" t="s"/>
  </s>
  <s>
    <k n="^Order" t="spba"/>
    <k n="TitleProperty" t="s"/>
    <k n="SubTitleProperty" t="s"/>
  </s>
  <s>
    <k n="ExchangeID" t="spb"/>
    <k n="UniqueName" t="spb"/>
    <k n="`%ProviderInfo" t="spb"/>
    <k n="LearnMoreOnLink" t="spb"/>
  </s>
  <s>
    <k n="Bas" t="i"/>
    <k n="Nom" t="i"/>
    <k n="P/E" t="i"/>
    <k n="Bêta" t="i"/>
    <k n="Haut" t="i"/>
    <k n="Prix" t="i"/>
    <k n="Ouvrir" t="i"/>
    <k n="Volume" t="i"/>
    <k n="Employés" t="i"/>
    <k n="Modifier" t="i"/>
    <k n="Volume moyen" t="i"/>
    <k n="Modification (%)" t="i"/>
    <k n="`%EntityServiceId" t="i"/>
    <k n="Clôture précédente" t="i"/>
    <k n="Année de constitution" t="i"/>
    <k n="Actions en circulation" t="i"/>
    <k n="Bas depuis 52 semaines" t="i"/>
    <k n="Haut depuis 52 semaines" t="i"/>
    <k n="Capitalisation boursière" t="i"/>
    <k n="Dernière heure d'échange" t="i"/>
    <k n="Prix (horaires prolongés)" t="i"/>
    <k n="Changement (horaires prolongés)" t="i"/>
    <k n="Changement en % (horaires prolongés)" t="i"/>
  </s>
  <s>
    <k n="Prix" t="s"/>
    <k n="Modifier" t="s"/>
    <k n="ExchangeID" t="s"/>
    <k n="Modification (%)" t="s"/>
    <k n="Dernière heure d'échange" t="s"/>
    <k n="Prix (horaires prolongés)" t="s"/>
    <k n="Changement (horaires prolongés)" t="s"/>
    <k n="Changement en % (horaires prolongés)" t="s"/>
  </s>
  <s>
    <k n="Bas" t="s"/>
    <k n="Nom" t="s"/>
    <k n="Haut" t="s"/>
    <k n="Prix" t="s"/>
    <k n="Change" t="s"/>
    <k n="Devise" t="s"/>
    <k n="Ouvrir" t="s"/>
    <k n="Volume" t="s"/>
    <k n="Modifier" t="s"/>
    <k n="UniqueName" t="s"/>
    <k n="%ProviderInfo" t="s"/>
    <k n="Code mnémonique" t="s"/>
    <k n="LearnMoreOnLink" t="s"/>
    <k n="Modification (%)" t="s"/>
    <k n="Taux de dépenses" t="s"/>
    <k n="Type d'instrument" t="s"/>
    <k n="Clôture précédente" t="s"/>
    <k n="Abréviation de change" t="s"/>
    <k n="Bas depuis 52 semaines" t="s"/>
    <k n="Haut depuis 52 semaines" t="s"/>
    <k n="Capitalisation boursière" t="s"/>
    <k n="Dernière heure d'échange" t="s"/>
  </s>
  <s>
    <k n="UniqueName" t="spb"/>
    <k n="`%ProviderInfo" t="spb"/>
    <k n="LearnMoreOnLink" t="spb"/>
  </s>
  <s>
    <k n="Bas" t="i"/>
    <k n="Nom" t="i"/>
    <k n="Haut" t="i"/>
    <k n="Prix" t="i"/>
    <k n="Ouvrir" t="i"/>
    <k n="Volume" t="i"/>
    <k n="Modifier" t="i"/>
    <k n="Modification (%)" t="i"/>
    <k n="Taux de dépenses" t="i"/>
    <k n="`%EntityServiceId" t="i"/>
    <k n="Clôture précédente" t="i"/>
    <k n="Bas depuis 52 semaines" t="i"/>
    <k n="Haut depuis 52 semaines" t="i"/>
    <k n="Capitalisation boursière" t="i"/>
    <k n="Dernière heure d'échange" t="i"/>
  </s>
  <s>
    <k n="Prix" t="s"/>
    <k n="Modifier" t="s"/>
    <k n="Modification (%)" t="s"/>
    <k n="Dernière heure d'échange" t="s"/>
  </s>
  <s>
    <k n="Bas" t="s"/>
    <k n="Nom" t="s"/>
    <k n="P/E" t="s"/>
    <k n="Bêta" t="s"/>
    <k n="Haut" t="s"/>
    <k n="Prix" t="s"/>
    <k n="Change" t="s"/>
    <k n="Devise" t="s"/>
    <k n="Ouvrir" t="s"/>
    <k n="Volume" t="s"/>
    <k n="Employés" t="s"/>
    <k n="Modifier" t="s"/>
    <k n="Industrie" t="s"/>
    <k n="ExchangeID" t="s"/>
    <k n="UniqueName" t="s"/>
    <k n="Description" t="s"/>
    <k n="Nom officiel" t="s"/>
    <k n="Volume moyen" t="s"/>
    <k n="%ProviderInfo" t="s"/>
    <k n="Sièges sociaux" t="s"/>
    <k n="Code mnémonique" t="s"/>
    <k n="LearnMoreOnLink" t="s"/>
    <k n="Modification (%)" t="s"/>
    <k n="Type d'instrument" t="s"/>
    <k n="Clôture précédente" t="s"/>
    <k n="Abréviation de change" t="s"/>
    <k n="Année de constitution" t="s"/>
    <k n="Actions en circulation" t="s"/>
    <k n="Bas depuis 52 semaines" t="s"/>
    <k n="Haut depuis 52 semaines" t="s"/>
    <k n="Capitalisation boursière" t="s"/>
    <k n="Dernière heure d'échange" t="s"/>
  </s>
  <s>
    <k n="Bas" t="i"/>
    <k n="Nom" t="i"/>
    <k n="P/E" t="i"/>
    <k n="Bêta" t="i"/>
    <k n="Haut" t="i"/>
    <k n="Prix" t="i"/>
    <k n="Ouvrir" t="i"/>
    <k n="Volume" t="i"/>
    <k n="Employés" t="i"/>
    <k n="Modifier" t="i"/>
    <k n="Volume moyen" t="i"/>
    <k n="Modification (%)" t="i"/>
    <k n="`%EntityServiceId" t="i"/>
    <k n="Clôture précédente" t="i"/>
    <k n="Année de constitution" t="i"/>
    <k n="Actions en circulation" t="i"/>
    <k n="Bas depuis 52 semaines" t="i"/>
    <k n="Haut depuis 52 semaines" t="i"/>
    <k n="Capitalisation boursière" t="i"/>
    <k n="Dernière heure d'échange" t="i"/>
  </s>
  <s>
    <k n="Bas" t="s"/>
    <k n="Nom" t="s"/>
    <k n="Haut" t="s"/>
    <k n="Prix" t="s"/>
    <k n="Change" t="s"/>
    <k n="Devise" t="s"/>
    <k n="Ouvrir" t="s"/>
    <k n="Volume" t="s"/>
    <k n="Modifier" t="s"/>
    <k n="UniqueName" t="s"/>
    <k n="%ProviderInfo" t="s"/>
    <k n="Code mnémonique" t="s"/>
    <k n="LearnMoreOnLink" t="s"/>
    <k n="Modification (%)" t="s"/>
    <k n="Type d'instrument" t="s"/>
    <k n="Clôture précédente" t="s"/>
    <k n="Abréviation de change" t="s"/>
    <k n="Dernière heure d'échange" t="s"/>
  </s>
  <s>
    <k n="Bas" t="i"/>
    <k n="Nom" t="i"/>
    <k n="Haut" t="i"/>
    <k n="Prix" t="i"/>
    <k n="Ouvrir" t="i"/>
    <k n="Volume" t="i"/>
    <k n="Modifier" t="i"/>
    <k n="Modification (%)" t="i"/>
    <k n="`%EntityServiceId" t="i"/>
    <k n="Clôture précédente" t="i"/>
    <k n="Dernière heure d'échange"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ichProperties>
  <richStyles>
    <rSty dxfid="1">
      <rpv i="0">_([$$-en-US]* #,##0.00_);_([$$-en-US]* (#,##0.00);_([$$-en-US]* "-"??_);_(@_)</rpv>
    </rSty>
    <rSty>
      <rpv i="1">1</rpv>
    </rSty>
    <rSty dxfid="3"/>
    <rSty dxfid="0">
      <rpv i="0">0.00</rpv>
    </rSty>
    <rSty dxfid="2"/>
    <rSty dxfid="7"/>
    <rSty dxfid="5">
      <rpv i="0">#,##0.00</rpv>
    </rSty>
    <rSty dxfid="4">
      <rpv i="0">#,##0</rpv>
    </rSty>
    <rSty dxfid="6">
      <rpv i="0">0</rpv>
    </rSty>
    <rSty dxfid="1">
      <rpv i="0">_([$$-en-US]* #,##0_);_([$$-en-US]* (#,##0);_([$$-en-US]* "-"_);_(@_)</rpv>
    </rSty>
    <rSty dxfid="1">
      <rpv i="0">_([$€-x-euro2] * #,##0.00_);_([$€-x-euro2] * (#,##0.00);_([$€-x-euro2] * "-"??_);_(@_)</rpv>
    </rSty>
    <rSty dxfid="1">
      <rpv i="0">_([$€-x-euro2] * #,##0_);_([$€-x-euro2] * (#,##0);_([$€-x-euro2] * "-"_);_(@_)</rpv>
    </rSty>
    <rSty dxfid="1">
      <rpv i="0">_([$HK$-zh-HK]* #,##0_);_([$HK$-zh-HK]* (#,##0);_([$HK$-zh-HK]*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8426E8-403A-BC4A-B734-0B7350F6C45D}" name="Ledger" displayName="Ledger" ref="A3:I35" totalsRowShown="0">
  <autoFilter ref="A3:I35" xr:uid="{8F8426E8-403A-BC4A-B734-0B7350F6C45D}"/>
  <tableColumns count="9">
    <tableColumn id="1" xr3:uid="{DEE7F5D1-18C7-6D40-89C9-F43F525E2A44}" name="Date" dataDxfId="2"/>
    <tableColumn id="2" xr3:uid="{A111949C-18A8-454D-A76C-E98F4D8AEE96}" name="Stock"/>
    <tableColumn id="3" xr3:uid="{46C928A4-058A-684A-BE6A-85C384F23400}" name="Transaction"/>
    <tableColumn id="4" xr3:uid="{4F94175B-2E48-264D-9E05-75445085D7C7}" name="Units"/>
    <tableColumn id="5" xr3:uid="{AA828BDB-23F6-2547-A681-3D8D8BC80D0F}" name="Price"/>
    <tableColumn id="6" xr3:uid="{876170C2-DA86-0A43-8F85-9CC9C9289DB2}" name="Currency"/>
    <tableColumn id="9" xr3:uid="{36DEF0A1-26BD-CA4D-9937-04A74D1D9471}" name="FX Rate" dataDxfId="1">
      <calculatedColumnFormula>IF(F4="EUR",1,$K$4)</calculatedColumnFormula>
    </tableColumn>
    <tableColumn id="7" xr3:uid="{F2499212-9291-1C42-A525-0B645F23B225}" name="Transaction Amount"/>
    <tableColumn id="8" xr3:uid="{FD7E3EB9-3D62-414A-A56B-774F3715A245}" name="Ticker" dataDxfId="0">
      <calculatedColumnFormula array="1">_FV(Ledger[ [#This Row],[Stock] ],"Code mnémonique",TRUE)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6E28E-54AF-D04D-A4F8-20DABA5544A2}">
  <dimension ref="A1:JE20"/>
  <sheetViews>
    <sheetView showGridLines="0" tabSelected="1" workbookViewId="0">
      <selection activeCell="G14" sqref="G14"/>
    </sheetView>
  </sheetViews>
  <sheetFormatPr baseColWidth="10" defaultRowHeight="16" x14ac:dyDescent="0.2"/>
  <cols>
    <col min="1" max="1" width="2.83203125" customWidth="1"/>
    <col min="2" max="2" width="48.5" bestFit="1" customWidth="1"/>
    <col min="3" max="3" width="38.33203125" bestFit="1" customWidth="1"/>
    <col min="4" max="4" width="10.83203125" customWidth="1"/>
    <col min="6" max="6" width="12" bestFit="1" customWidth="1"/>
    <col min="7" max="7" width="11.5" customWidth="1"/>
    <col min="8" max="8" width="9.1640625" customWidth="1"/>
    <col min="9" max="9" width="10.83203125" customWidth="1"/>
    <col min="11" max="11" width="15.83203125" customWidth="1"/>
  </cols>
  <sheetData>
    <row r="1" spans="1:265" ht="58" customHeight="1" x14ac:dyDescent="0.45">
      <c r="A1" s="1"/>
      <c r="B1" s="2"/>
      <c r="C1" s="2"/>
      <c r="D1" s="2"/>
      <c r="E1" s="2"/>
      <c r="F1" s="2"/>
      <c r="G1" s="9" t="s">
        <v>22</v>
      </c>
      <c r="H1" s="14" t="s">
        <v>24</v>
      </c>
      <c r="I1" s="15" t="s">
        <v>20</v>
      </c>
      <c r="J1" s="2"/>
      <c r="K1" s="17" t="e" vm="1">
        <v>#VALUE!</v>
      </c>
    </row>
    <row r="2" spans="1:265" ht="38" customHeight="1" x14ac:dyDescent="0.2">
      <c r="A2" s="2"/>
      <c r="B2" s="2"/>
      <c r="C2" s="2"/>
      <c r="D2" s="2"/>
      <c r="E2" s="2"/>
      <c r="F2" s="2"/>
      <c r="G2" s="12">
        <f ca="1">SUM(_xlfn.ANCHORARRAY(G6))</f>
        <v>3366.7109980000005</v>
      </c>
      <c r="H2" s="13">
        <f ca="1">SUM(H6:H12)</f>
        <v>-18.186242000000021</v>
      </c>
      <c r="I2" s="16">
        <f ca="1">H2/ (G2-H2)</f>
        <v>-5.3727604445681833E-3</v>
      </c>
      <c r="J2" s="2"/>
      <c r="K2" s="18" cm="1">
        <f t="array" aca="1" ref="K2" ca="1">_FV(K1,"Prix")</f>
        <v>1.1908000000000001</v>
      </c>
    </row>
    <row r="4" spans="1:265" x14ac:dyDescent="0.2">
      <c r="B4" s="5" t="s">
        <v>12</v>
      </c>
      <c r="C4" s="4"/>
      <c r="D4" s="4"/>
      <c r="E4" s="4"/>
      <c r="F4" s="4"/>
      <c r="G4" s="4"/>
      <c r="H4" s="4"/>
      <c r="I4" s="4"/>
      <c r="J4" s="4"/>
      <c r="K4" s="4"/>
    </row>
    <row r="5" spans="1:265" x14ac:dyDescent="0.2">
      <c r="B5" s="6" t="s">
        <v>13</v>
      </c>
      <c r="C5" s="6" t="s">
        <v>14</v>
      </c>
      <c r="D5" s="6" t="s">
        <v>5</v>
      </c>
      <c r="E5" s="6" t="s">
        <v>3</v>
      </c>
      <c r="F5" s="6" t="s">
        <v>15</v>
      </c>
      <c r="G5" s="6" t="s">
        <v>16</v>
      </c>
      <c r="H5" s="6" t="s">
        <v>21</v>
      </c>
      <c r="I5" s="6" t="s">
        <v>20</v>
      </c>
      <c r="J5" s="6" t="s">
        <v>17</v>
      </c>
      <c r="K5" s="6" t="s">
        <v>18</v>
      </c>
      <c r="M5" cm="1" vm="2">
        <f t="array" aca="1" ref="M5:JC6" ca="1">TRANSPOSE(_xlfn.STOCKHISTORY(B6,TODAY()-365,TODAY(),0,0,0,1))</f>
        <v>45699</v>
      </c>
      <c r="N5" vm="3">
        <f ca="1"/>
        <v>45700</v>
      </c>
      <c r="O5" vm="4">
        <f ca="1"/>
        <v>45701</v>
      </c>
      <c r="P5" vm="5">
        <f ca="1"/>
        <v>45702</v>
      </c>
      <c r="Q5" vm="6">
        <f ca="1"/>
        <v>45706</v>
      </c>
      <c r="R5" vm="7">
        <f ca="1"/>
        <v>45707</v>
      </c>
      <c r="S5" vm="8">
        <f ca="1"/>
        <v>45708</v>
      </c>
      <c r="T5" vm="9">
        <f ca="1"/>
        <v>45709</v>
      </c>
      <c r="U5" vm="10">
        <f ca="1"/>
        <v>45712</v>
      </c>
      <c r="V5" vm="11">
        <f ca="1"/>
        <v>45713</v>
      </c>
      <c r="W5" vm="12">
        <f ca="1"/>
        <v>45714</v>
      </c>
      <c r="X5" vm="13">
        <f ca="1"/>
        <v>45715</v>
      </c>
      <c r="Y5" vm="14">
        <f ca="1"/>
        <v>45716</v>
      </c>
      <c r="Z5" vm="15">
        <f ca="1"/>
        <v>45719</v>
      </c>
      <c r="AA5" vm="16">
        <f ca="1"/>
        <v>45720</v>
      </c>
      <c r="AB5" vm="17">
        <f ca="1"/>
        <v>45721</v>
      </c>
      <c r="AC5" vm="18">
        <f ca="1"/>
        <v>45722</v>
      </c>
      <c r="AD5" vm="19">
        <f ca="1"/>
        <v>45723</v>
      </c>
      <c r="AE5" vm="20">
        <f ca="1"/>
        <v>45726</v>
      </c>
      <c r="AF5" vm="21">
        <f ca="1"/>
        <v>45727</v>
      </c>
      <c r="AG5" vm="22">
        <f ca="1"/>
        <v>45728</v>
      </c>
      <c r="AH5" vm="23">
        <f ca="1"/>
        <v>45729</v>
      </c>
      <c r="AI5" vm="24">
        <f ca="1"/>
        <v>45730</v>
      </c>
      <c r="AJ5" vm="25">
        <f ca="1"/>
        <v>45733</v>
      </c>
      <c r="AK5" vm="26">
        <f ca="1"/>
        <v>45734</v>
      </c>
      <c r="AL5" vm="27">
        <f ca="1"/>
        <v>45735</v>
      </c>
      <c r="AM5" vm="28">
        <f ca="1"/>
        <v>45736</v>
      </c>
      <c r="AN5" vm="29">
        <f ca="1"/>
        <v>45737</v>
      </c>
      <c r="AO5" vm="30">
        <f ca="1"/>
        <v>45740</v>
      </c>
      <c r="AP5" vm="31">
        <f ca="1"/>
        <v>45741</v>
      </c>
      <c r="AQ5" vm="32">
        <f ca="1"/>
        <v>45742</v>
      </c>
      <c r="AR5" vm="33">
        <f ca="1"/>
        <v>45743</v>
      </c>
      <c r="AS5" vm="34">
        <f ca="1"/>
        <v>45744</v>
      </c>
      <c r="AT5" vm="35">
        <f ca="1"/>
        <v>45747</v>
      </c>
      <c r="AU5" vm="36">
        <f ca="1"/>
        <v>45748</v>
      </c>
      <c r="AV5" vm="37">
        <f ca="1"/>
        <v>45749</v>
      </c>
      <c r="AW5" vm="38">
        <f ca="1"/>
        <v>45750</v>
      </c>
      <c r="AX5" vm="39">
        <f ca="1"/>
        <v>45751</v>
      </c>
      <c r="AY5" vm="40">
        <f ca="1"/>
        <v>45754</v>
      </c>
      <c r="AZ5" vm="41">
        <f ca="1"/>
        <v>45755</v>
      </c>
      <c r="BA5" vm="42">
        <f ca="1"/>
        <v>45756</v>
      </c>
      <c r="BB5" vm="43">
        <f ca="1"/>
        <v>45757</v>
      </c>
      <c r="BC5" vm="44">
        <f ca="1"/>
        <v>45758</v>
      </c>
      <c r="BD5" vm="45">
        <f ca="1"/>
        <v>45761</v>
      </c>
      <c r="BE5" vm="46">
        <f ca="1"/>
        <v>45762</v>
      </c>
      <c r="BF5" vm="47">
        <f ca="1"/>
        <v>45763</v>
      </c>
      <c r="BG5" vm="48">
        <f ca="1"/>
        <v>45764</v>
      </c>
      <c r="BH5" vm="49">
        <f ca="1"/>
        <v>45768</v>
      </c>
      <c r="BI5" vm="50">
        <f ca="1"/>
        <v>45769</v>
      </c>
      <c r="BJ5" vm="51">
        <f ca="1"/>
        <v>45770</v>
      </c>
      <c r="BK5" vm="52">
        <f ca="1"/>
        <v>45771</v>
      </c>
      <c r="BL5" vm="53">
        <f ca="1"/>
        <v>45772</v>
      </c>
      <c r="BM5" vm="54">
        <f ca="1"/>
        <v>45775</v>
      </c>
      <c r="BN5" vm="55">
        <f ca="1"/>
        <v>45776</v>
      </c>
      <c r="BO5" vm="56">
        <f ca="1"/>
        <v>45777</v>
      </c>
      <c r="BP5" vm="57">
        <f ca="1"/>
        <v>45778</v>
      </c>
      <c r="BQ5" vm="58">
        <f ca="1"/>
        <v>45779</v>
      </c>
      <c r="BR5" vm="59">
        <f ca="1"/>
        <v>45782</v>
      </c>
      <c r="BS5" vm="60">
        <f ca="1"/>
        <v>45783</v>
      </c>
      <c r="BT5" vm="61">
        <f ca="1"/>
        <v>45784</v>
      </c>
      <c r="BU5" vm="62">
        <f ca="1"/>
        <v>45785</v>
      </c>
      <c r="BV5" vm="63">
        <f ca="1"/>
        <v>45786</v>
      </c>
      <c r="BW5" vm="64">
        <f ca="1"/>
        <v>45789</v>
      </c>
      <c r="BX5" vm="65">
        <f ca="1"/>
        <v>45790</v>
      </c>
      <c r="BY5" vm="66">
        <f ca="1"/>
        <v>45791</v>
      </c>
      <c r="BZ5" vm="67">
        <f ca="1"/>
        <v>45792</v>
      </c>
      <c r="CA5" vm="68">
        <f ca="1"/>
        <v>45793</v>
      </c>
      <c r="CB5" vm="69">
        <f ca="1"/>
        <v>45796</v>
      </c>
      <c r="CC5" vm="70">
        <f ca="1"/>
        <v>45797</v>
      </c>
      <c r="CD5" vm="71">
        <f ca="1"/>
        <v>45798</v>
      </c>
      <c r="CE5" vm="72">
        <f ca="1"/>
        <v>45799</v>
      </c>
      <c r="CF5" vm="73">
        <f ca="1"/>
        <v>45800</v>
      </c>
      <c r="CG5" vm="74">
        <f ca="1"/>
        <v>45804</v>
      </c>
      <c r="CH5" vm="75">
        <f ca="1"/>
        <v>45805</v>
      </c>
      <c r="CI5" vm="76">
        <f ca="1"/>
        <v>45806</v>
      </c>
      <c r="CJ5" vm="77">
        <f ca="1"/>
        <v>45807</v>
      </c>
      <c r="CK5" vm="78">
        <f ca="1"/>
        <v>45810</v>
      </c>
      <c r="CL5" vm="79">
        <f ca="1"/>
        <v>45811</v>
      </c>
      <c r="CM5" vm="80">
        <f ca="1"/>
        <v>45812</v>
      </c>
      <c r="CN5" vm="81">
        <f ca="1"/>
        <v>45813</v>
      </c>
      <c r="CO5" vm="82">
        <f ca="1"/>
        <v>45814</v>
      </c>
      <c r="CP5" vm="83">
        <f ca="1"/>
        <v>45817</v>
      </c>
      <c r="CQ5" vm="84">
        <f ca="1"/>
        <v>45818</v>
      </c>
      <c r="CR5" vm="85">
        <f ca="1"/>
        <v>45819</v>
      </c>
      <c r="CS5" vm="86">
        <f ca="1"/>
        <v>45820</v>
      </c>
      <c r="CT5" vm="87">
        <f ca="1"/>
        <v>45821</v>
      </c>
      <c r="CU5" vm="88">
        <f ca="1"/>
        <v>45824</v>
      </c>
      <c r="CV5" vm="89">
        <f ca="1"/>
        <v>45825</v>
      </c>
      <c r="CW5" vm="90">
        <f ca="1"/>
        <v>45826</v>
      </c>
      <c r="CX5" vm="91">
        <f ca="1"/>
        <v>45828</v>
      </c>
      <c r="CY5" vm="92">
        <f ca="1"/>
        <v>45831</v>
      </c>
      <c r="CZ5" vm="93">
        <f ca="1"/>
        <v>45832</v>
      </c>
      <c r="DA5" vm="94">
        <f ca="1"/>
        <v>45833</v>
      </c>
      <c r="DB5" vm="95">
        <f ca="1"/>
        <v>45834</v>
      </c>
      <c r="DC5" vm="96">
        <f ca="1"/>
        <v>45835</v>
      </c>
      <c r="DD5" vm="97">
        <f ca="1"/>
        <v>45838</v>
      </c>
      <c r="DE5" vm="98">
        <f ca="1"/>
        <v>45839</v>
      </c>
      <c r="DF5" vm="99">
        <f ca="1"/>
        <v>45840</v>
      </c>
      <c r="DG5" vm="100">
        <f ca="1"/>
        <v>45841</v>
      </c>
      <c r="DH5" vm="101">
        <f ca="1"/>
        <v>45845</v>
      </c>
      <c r="DI5" vm="102">
        <f ca="1"/>
        <v>45846</v>
      </c>
      <c r="DJ5" vm="103">
        <f ca="1"/>
        <v>45847</v>
      </c>
      <c r="DK5" vm="104">
        <f ca="1"/>
        <v>45848</v>
      </c>
      <c r="DL5" vm="105">
        <f ca="1"/>
        <v>45849</v>
      </c>
      <c r="DM5" vm="106">
        <f ca="1"/>
        <v>45852</v>
      </c>
      <c r="DN5" vm="107">
        <f ca="1"/>
        <v>45853</v>
      </c>
      <c r="DO5" vm="108">
        <f ca="1"/>
        <v>45854</v>
      </c>
      <c r="DP5" vm="109">
        <f ca="1"/>
        <v>45855</v>
      </c>
      <c r="DQ5" vm="110">
        <f ca="1"/>
        <v>45856</v>
      </c>
      <c r="DR5" vm="111">
        <f ca="1"/>
        <v>45859</v>
      </c>
      <c r="DS5" vm="112">
        <f ca="1"/>
        <v>45860</v>
      </c>
      <c r="DT5" vm="113">
        <f ca="1"/>
        <v>45861</v>
      </c>
      <c r="DU5" vm="114">
        <f ca="1"/>
        <v>45862</v>
      </c>
      <c r="DV5" vm="115">
        <f ca="1"/>
        <v>45863</v>
      </c>
      <c r="DW5" vm="116">
        <f ca="1"/>
        <v>45866</v>
      </c>
      <c r="DX5" vm="117">
        <f ca="1"/>
        <v>45867</v>
      </c>
      <c r="DY5" vm="118">
        <f ca="1"/>
        <v>45868</v>
      </c>
      <c r="DZ5" vm="119">
        <f ca="1"/>
        <v>45869</v>
      </c>
      <c r="EA5" vm="120">
        <f ca="1"/>
        <v>45870</v>
      </c>
      <c r="EB5" vm="121">
        <f ca="1"/>
        <v>45873</v>
      </c>
      <c r="EC5" vm="122">
        <f ca="1"/>
        <v>45874</v>
      </c>
      <c r="ED5" vm="123">
        <f ca="1"/>
        <v>45875</v>
      </c>
      <c r="EE5" vm="124">
        <f ca="1"/>
        <v>45876</v>
      </c>
      <c r="EF5" vm="125">
        <f ca="1"/>
        <v>45877</v>
      </c>
      <c r="EG5" vm="126">
        <f ca="1"/>
        <v>45880</v>
      </c>
      <c r="EH5" vm="127">
        <f ca="1"/>
        <v>45881</v>
      </c>
      <c r="EI5" vm="128">
        <f ca="1"/>
        <v>45882</v>
      </c>
      <c r="EJ5" vm="129">
        <f ca="1"/>
        <v>45883</v>
      </c>
      <c r="EK5" vm="130">
        <f ca="1"/>
        <v>45884</v>
      </c>
      <c r="EL5" vm="131">
        <f ca="1"/>
        <v>45887</v>
      </c>
      <c r="EM5" vm="132">
        <f ca="1"/>
        <v>45888</v>
      </c>
      <c r="EN5" vm="133">
        <f ca="1"/>
        <v>45889</v>
      </c>
      <c r="EO5" vm="134">
        <f ca="1"/>
        <v>45890</v>
      </c>
      <c r="EP5" vm="135">
        <f ca="1"/>
        <v>45891</v>
      </c>
      <c r="EQ5" vm="136">
        <f ca="1"/>
        <v>45894</v>
      </c>
      <c r="ER5" vm="137">
        <f ca="1"/>
        <v>45895</v>
      </c>
      <c r="ES5" vm="138">
        <f ca="1"/>
        <v>45896</v>
      </c>
      <c r="ET5" vm="139">
        <f ca="1"/>
        <v>45897</v>
      </c>
      <c r="EU5" vm="140">
        <f ca="1"/>
        <v>45898</v>
      </c>
      <c r="EV5" vm="141">
        <f ca="1"/>
        <v>45902</v>
      </c>
      <c r="EW5" vm="142">
        <f ca="1"/>
        <v>45903</v>
      </c>
      <c r="EX5" vm="143">
        <f ca="1"/>
        <v>45904</v>
      </c>
      <c r="EY5" vm="144">
        <f ca="1"/>
        <v>45905</v>
      </c>
      <c r="EZ5" vm="145">
        <f ca="1"/>
        <v>45908</v>
      </c>
      <c r="FA5" vm="146">
        <f ca="1"/>
        <v>45909</v>
      </c>
      <c r="FB5" vm="147">
        <f ca="1"/>
        <v>45910</v>
      </c>
      <c r="FC5" vm="148">
        <f ca="1"/>
        <v>45911</v>
      </c>
      <c r="FD5" vm="149">
        <f ca="1"/>
        <v>45912</v>
      </c>
      <c r="FE5" vm="150">
        <f ca="1"/>
        <v>45915</v>
      </c>
      <c r="FF5" vm="151">
        <f ca="1"/>
        <v>45916</v>
      </c>
      <c r="FG5" vm="152">
        <f ca="1"/>
        <v>45917</v>
      </c>
      <c r="FH5" vm="153">
        <f ca="1"/>
        <v>45918</v>
      </c>
      <c r="FI5" vm="154">
        <f ca="1"/>
        <v>45919</v>
      </c>
      <c r="FJ5" vm="155">
        <f ca="1"/>
        <v>45922</v>
      </c>
      <c r="FK5" vm="156">
        <f ca="1"/>
        <v>45923</v>
      </c>
      <c r="FL5" vm="157">
        <f ca="1"/>
        <v>45924</v>
      </c>
      <c r="FM5" vm="158">
        <f ca="1"/>
        <v>45925</v>
      </c>
      <c r="FN5" vm="159">
        <f ca="1"/>
        <v>45926</v>
      </c>
      <c r="FO5" vm="160">
        <f ca="1"/>
        <v>45929</v>
      </c>
      <c r="FP5" vm="161">
        <f ca="1"/>
        <v>45930</v>
      </c>
      <c r="FQ5" vm="162">
        <f ca="1"/>
        <v>45931</v>
      </c>
      <c r="FR5" vm="163">
        <f ca="1"/>
        <v>45932</v>
      </c>
      <c r="FS5" vm="164">
        <f ca="1"/>
        <v>45933</v>
      </c>
      <c r="FT5" vm="165">
        <f ca="1"/>
        <v>45936</v>
      </c>
      <c r="FU5" vm="166">
        <f ca="1"/>
        <v>45937</v>
      </c>
      <c r="FV5" vm="167">
        <f ca="1"/>
        <v>45938</v>
      </c>
      <c r="FW5" vm="168">
        <f ca="1"/>
        <v>45939</v>
      </c>
      <c r="FX5" vm="169">
        <f ca="1"/>
        <v>45940</v>
      </c>
      <c r="FY5" vm="170">
        <f ca="1"/>
        <v>45943</v>
      </c>
      <c r="FZ5" vm="171">
        <f ca="1"/>
        <v>45944</v>
      </c>
      <c r="GA5" vm="172">
        <f ca="1"/>
        <v>45945</v>
      </c>
      <c r="GB5" vm="173">
        <f ca="1"/>
        <v>45946</v>
      </c>
      <c r="GC5" vm="174">
        <f ca="1"/>
        <v>45947</v>
      </c>
      <c r="GD5" vm="175">
        <f ca="1"/>
        <v>45950</v>
      </c>
      <c r="GE5" vm="176">
        <f ca="1"/>
        <v>45951</v>
      </c>
      <c r="GF5" vm="177">
        <f ca="1"/>
        <v>45952</v>
      </c>
      <c r="GG5" vm="178">
        <f ca="1"/>
        <v>45953</v>
      </c>
      <c r="GH5" vm="179">
        <f ca="1"/>
        <v>45954</v>
      </c>
      <c r="GI5" vm="180">
        <f ca="1"/>
        <v>45957</v>
      </c>
      <c r="GJ5" vm="181">
        <f ca="1"/>
        <v>45958</v>
      </c>
      <c r="GK5" vm="182">
        <f ca="1"/>
        <v>45959</v>
      </c>
      <c r="GL5" vm="183">
        <f ca="1"/>
        <v>45960</v>
      </c>
      <c r="GM5" vm="184">
        <f ca="1"/>
        <v>45961</v>
      </c>
      <c r="GN5" vm="185">
        <f ca="1"/>
        <v>45964</v>
      </c>
      <c r="GO5" vm="186">
        <f ca="1"/>
        <v>45965</v>
      </c>
      <c r="GP5" vm="187">
        <f ca="1"/>
        <v>45966</v>
      </c>
      <c r="GQ5" vm="188">
        <f ca="1"/>
        <v>45967</v>
      </c>
      <c r="GR5" vm="189">
        <f ca="1"/>
        <v>45968</v>
      </c>
      <c r="GS5" vm="190">
        <f ca="1"/>
        <v>45971</v>
      </c>
      <c r="GT5" vm="191">
        <f ca="1"/>
        <v>45972</v>
      </c>
      <c r="GU5" vm="192">
        <f ca="1"/>
        <v>45973</v>
      </c>
      <c r="GV5" vm="193">
        <f ca="1"/>
        <v>45974</v>
      </c>
      <c r="GW5" vm="194">
        <f ca="1"/>
        <v>45975</v>
      </c>
      <c r="GX5" vm="195">
        <f ca="1"/>
        <v>45978</v>
      </c>
      <c r="GY5" vm="196">
        <f ca="1"/>
        <v>45979</v>
      </c>
      <c r="GZ5" vm="197">
        <f ca="1"/>
        <v>45980</v>
      </c>
      <c r="HA5" vm="198">
        <f ca="1"/>
        <v>45981</v>
      </c>
      <c r="HB5" vm="199">
        <f ca="1"/>
        <v>45982</v>
      </c>
      <c r="HC5" vm="200">
        <f ca="1"/>
        <v>45985</v>
      </c>
      <c r="HD5" vm="201">
        <f ca="1"/>
        <v>45986</v>
      </c>
      <c r="HE5" vm="202">
        <f ca="1"/>
        <v>45987</v>
      </c>
      <c r="HF5" vm="203">
        <f ca="1"/>
        <v>45989</v>
      </c>
      <c r="HG5" vm="204">
        <f ca="1"/>
        <v>45992</v>
      </c>
      <c r="HH5" vm="205">
        <f ca="1"/>
        <v>45993</v>
      </c>
      <c r="HI5" vm="206">
        <f ca="1"/>
        <v>45994</v>
      </c>
      <c r="HJ5" vm="207">
        <f ca="1"/>
        <v>45995</v>
      </c>
      <c r="HK5" vm="208">
        <f ca="1"/>
        <v>45996</v>
      </c>
      <c r="HL5" vm="209">
        <f ca="1"/>
        <v>45999</v>
      </c>
      <c r="HM5" vm="210">
        <f ca="1"/>
        <v>46000</v>
      </c>
      <c r="HN5" vm="211">
        <f ca="1"/>
        <v>46001</v>
      </c>
      <c r="HO5" vm="212">
        <f ca="1"/>
        <v>46002</v>
      </c>
      <c r="HP5" vm="213">
        <f ca="1"/>
        <v>46003</v>
      </c>
      <c r="HQ5" vm="214">
        <f ca="1"/>
        <v>46006</v>
      </c>
      <c r="HR5" vm="215">
        <f ca="1"/>
        <v>46007</v>
      </c>
      <c r="HS5" vm="216">
        <f ca="1"/>
        <v>46008</v>
      </c>
      <c r="HT5" vm="217">
        <f ca="1"/>
        <v>46009</v>
      </c>
      <c r="HU5" vm="218">
        <f ca="1"/>
        <v>46010</v>
      </c>
      <c r="HV5" vm="219">
        <f ca="1"/>
        <v>46013</v>
      </c>
      <c r="HW5" vm="220">
        <f ca="1"/>
        <v>46014</v>
      </c>
      <c r="HX5" vm="221">
        <f ca="1"/>
        <v>46015</v>
      </c>
      <c r="HY5" vm="222">
        <f ca="1"/>
        <v>46017</v>
      </c>
      <c r="HZ5" vm="223">
        <f ca="1"/>
        <v>46020</v>
      </c>
      <c r="IA5" vm="224">
        <f ca="1"/>
        <v>46021</v>
      </c>
      <c r="IB5" vm="225">
        <f ca="1"/>
        <v>46022</v>
      </c>
      <c r="IC5" vm="226">
        <f ca="1"/>
        <v>46024</v>
      </c>
      <c r="ID5" vm="227">
        <f ca="1"/>
        <v>46027</v>
      </c>
      <c r="IE5" vm="228">
        <f ca="1"/>
        <v>46028</v>
      </c>
      <c r="IF5" vm="229">
        <f ca="1"/>
        <v>46029</v>
      </c>
      <c r="IG5" vm="230">
        <f ca="1"/>
        <v>46030</v>
      </c>
      <c r="IH5" vm="231">
        <f ca="1"/>
        <v>46031</v>
      </c>
      <c r="II5" vm="232">
        <f ca="1"/>
        <v>46034</v>
      </c>
      <c r="IJ5" vm="233">
        <f ca="1"/>
        <v>46035</v>
      </c>
      <c r="IK5" vm="234">
        <f ca="1"/>
        <v>46036</v>
      </c>
      <c r="IL5" vm="235">
        <f ca="1"/>
        <v>46037</v>
      </c>
      <c r="IM5" vm="236">
        <f ca="1"/>
        <v>46038</v>
      </c>
      <c r="IN5" vm="237">
        <f ca="1"/>
        <v>46042</v>
      </c>
      <c r="IO5" vm="238">
        <f ca="1"/>
        <v>46043</v>
      </c>
      <c r="IP5" vm="239">
        <f ca="1"/>
        <v>46044</v>
      </c>
      <c r="IQ5" vm="240">
        <f ca="1"/>
        <v>46045</v>
      </c>
      <c r="IR5" vm="241">
        <f ca="1"/>
        <v>46048</v>
      </c>
      <c r="IS5" vm="242">
        <f ca="1"/>
        <v>46049</v>
      </c>
      <c r="IT5" vm="243">
        <f ca="1"/>
        <v>46050</v>
      </c>
      <c r="IU5" vm="244">
        <f ca="1"/>
        <v>46051</v>
      </c>
      <c r="IV5" vm="245">
        <f ca="1"/>
        <v>46052</v>
      </c>
      <c r="IW5" vm="246">
        <f ca="1"/>
        <v>46055</v>
      </c>
      <c r="IX5" vm="247">
        <f ca="1"/>
        <v>46056</v>
      </c>
      <c r="IY5" vm="248">
        <f ca="1"/>
        <v>46057</v>
      </c>
      <c r="IZ5" vm="249">
        <f ca="1"/>
        <v>46058</v>
      </c>
      <c r="JA5" vm="250">
        <f ca="1"/>
        <v>46059</v>
      </c>
      <c r="JB5" vm="251">
        <f ca="1"/>
        <v>46062</v>
      </c>
      <c r="JC5" vm="252">
        <f ca="1"/>
        <v>46063</v>
      </c>
    </row>
    <row r="6" spans="1:265" ht="20" customHeight="1" x14ac:dyDescent="0.2">
      <c r="B6" t="e" cm="1" vm="253">
        <f t="array" ref="B6:B13">_xlfn._xlws.SORT(_xlfn.UNIQUE(_xlfn._xlws.FILTER(Ledger[Stock],SUMIF( Ledger[Stock],Ledger[Stock],Ledger[Units])&lt;&gt;0)))</f>
        <v>#VALUE!</v>
      </c>
      <c r="C6" t="str" cm="1">
        <f t="array" aca="1" ref="C6:C13" ca="1">IFERROR(_FV(_xlfn.ANCHORARRAY(B6),"Industrie"),"ETF")</f>
        <v>Software &amp; IT Services</v>
      </c>
      <c r="D6" t="str" cm="1">
        <f t="array" aca="1" ref="D6:D13" ca="1">_FV(_xlfn.ANCHORARRAY(B6),"Devise")</f>
        <v>USD</v>
      </c>
      <c r="E6" cm="1">
        <f t="array" ref="E6:E13">SUMIF(Ledger[Stock],_xlfn.ANCHORARRAY(B6),Ledger[Units])</f>
        <v>0.91379999999999995</v>
      </c>
      <c r="F6" cm="1">
        <f t="array" aca="1" ref="F6:F13" ca="1">IF(C6="USD",_FV(_xlfn.ANCHORARRAY( B6),"Prix",TRUE)*$K$4,_FV(_xlfn.ANCHORARRAY( B6),"Prix",TRUE))</f>
        <v>318.63</v>
      </c>
      <c r="G6" cm="1">
        <f t="array" aca="1" ref="G6:G13" ca="1">_xlfn.ANCHORARRAY(E6)*_xlfn.ANCHORARRAY(F6)</f>
        <v>291.16409399999998</v>
      </c>
      <c r="H6" s="10" cm="1">
        <f t="array" aca="1" ref="H6" ca="1">(F6-IF(C6="USD",_FV( B6,"Clôture précédente",TRUE)*$K$4,_FV( B6,"Clôture précédente",TRUE)))*E6</f>
        <v>-5.2726259999999829</v>
      </c>
      <c r="I6" s="7" cm="1">
        <f t="array" aca="1" ref="I6" ca="1">(F6-_FV(B6,"Clôture précédente",TRUE))/_FV(B6,"Clôture précédente",TRUE)</f>
        <v>-1.7786683107274916E-2</v>
      </c>
      <c r="J6" s="11" cm="1">
        <f t="array" aca="1" ref="J6:J13" ca="1">-SUMIF(Ledger[Stock],_xlfn.ANCHORARRAY(B6), Ledger[Transaction Amount])+_xlfn.ANCHORARRAY(G6)</f>
        <v>3.1740939999999682</v>
      </c>
      <c r="K6" t="s">
        <v>19</v>
      </c>
      <c r="M6" vm="254">
        <f ca="1"/>
        <v>187.07</v>
      </c>
      <c r="N6" vm="255">
        <f ca="1"/>
        <v>185.43</v>
      </c>
      <c r="O6" vm="256">
        <f ca="1"/>
        <v>187.88</v>
      </c>
      <c r="P6" vm="257">
        <f ca="1"/>
        <v>186.87</v>
      </c>
      <c r="Q6" vm="258">
        <f ca="1"/>
        <v>185.8</v>
      </c>
      <c r="R6" vm="259">
        <f ca="1"/>
        <v>187.13</v>
      </c>
      <c r="S6" vm="260">
        <f ca="1"/>
        <v>186.64</v>
      </c>
      <c r="T6" vm="261">
        <f ca="1"/>
        <v>181.58</v>
      </c>
      <c r="U6" vm="262">
        <f ca="1"/>
        <v>181.19</v>
      </c>
      <c r="V6" vm="263">
        <f ca="1"/>
        <v>177.37</v>
      </c>
      <c r="W6" vm="264">
        <f ca="1"/>
        <v>174.7</v>
      </c>
      <c r="X6" vm="265">
        <f ca="1"/>
        <v>170.21</v>
      </c>
      <c r="Y6" vm="266">
        <f ca="1"/>
        <v>172.22</v>
      </c>
      <c r="Z6" vm="267">
        <f ca="1"/>
        <v>168.66</v>
      </c>
      <c r="AA6" vm="268">
        <f ca="1"/>
        <v>172.61</v>
      </c>
      <c r="AB6" vm="269">
        <f ca="1"/>
        <v>174.99</v>
      </c>
      <c r="AC6" vm="270">
        <f ca="1"/>
        <v>174.21</v>
      </c>
      <c r="AD6" vm="271">
        <f ca="1"/>
        <v>175.75</v>
      </c>
      <c r="AE6" vm="272">
        <f ca="1"/>
        <v>167.81</v>
      </c>
      <c r="AF6" vm="273">
        <f ca="1"/>
        <v>165.98</v>
      </c>
      <c r="AG6" vm="274">
        <f ca="1"/>
        <v>169</v>
      </c>
      <c r="AH6" vm="275">
        <f ca="1"/>
        <v>164.73</v>
      </c>
      <c r="AI6" vm="276">
        <f ca="1"/>
        <v>167.62</v>
      </c>
      <c r="AJ6" vm="277">
        <f ca="1"/>
        <v>166.57</v>
      </c>
      <c r="AK6" vm="278">
        <f ca="1"/>
        <v>162.66999999999999</v>
      </c>
      <c r="AL6" vm="279">
        <f ca="1"/>
        <v>166.28</v>
      </c>
      <c r="AM6" vm="280">
        <f ca="1"/>
        <v>165.05</v>
      </c>
      <c r="AN6" vm="281">
        <f ca="1"/>
        <v>166.25</v>
      </c>
      <c r="AO6" vm="282">
        <f ca="1"/>
        <v>169.93</v>
      </c>
      <c r="AP6" vm="283">
        <f ca="1"/>
        <v>172.79</v>
      </c>
      <c r="AQ6" vm="284">
        <f ca="1"/>
        <v>167.14</v>
      </c>
      <c r="AR6" vm="285">
        <f ca="1"/>
        <v>164.08</v>
      </c>
      <c r="AS6" vm="286">
        <f ca="1"/>
        <v>156.06</v>
      </c>
      <c r="AT6" vm="287">
        <f ca="1"/>
        <v>156.22999999999999</v>
      </c>
      <c r="AU6" vm="288">
        <f ca="1"/>
        <v>158.88</v>
      </c>
      <c r="AV6" vm="289">
        <f ca="1"/>
        <v>158.86000000000001</v>
      </c>
      <c r="AW6" vm="290">
        <f ca="1"/>
        <v>152.63</v>
      </c>
      <c r="AX6" vm="291">
        <f ca="1"/>
        <v>147.74</v>
      </c>
      <c r="AY6" vm="292">
        <f ca="1"/>
        <v>149.24</v>
      </c>
      <c r="AZ6" vm="293">
        <f ca="1"/>
        <v>146.58000000000001</v>
      </c>
      <c r="BA6" vm="294">
        <f ca="1"/>
        <v>161.06</v>
      </c>
      <c r="BB6" vm="295">
        <f ca="1"/>
        <v>155.37</v>
      </c>
      <c r="BC6" vm="296">
        <f ca="1"/>
        <v>159.4</v>
      </c>
      <c r="BD6" vm="297">
        <f ca="1"/>
        <v>161.47</v>
      </c>
      <c r="BE6" vm="298">
        <f ca="1"/>
        <v>158.68</v>
      </c>
      <c r="BF6" vm="299">
        <f ca="1"/>
        <v>155.5</v>
      </c>
      <c r="BG6" vm="300">
        <f ca="1"/>
        <v>153.36000000000001</v>
      </c>
      <c r="BH6" vm="301">
        <f ca="1"/>
        <v>149.86000000000001</v>
      </c>
      <c r="BI6" vm="302">
        <f ca="1"/>
        <v>153.9</v>
      </c>
      <c r="BJ6" vm="303">
        <f ca="1"/>
        <v>157.72</v>
      </c>
      <c r="BK6" vm="297">
        <f ca="1"/>
        <v>161.47</v>
      </c>
      <c r="BL6" vm="304">
        <f ca="1"/>
        <v>163.85</v>
      </c>
      <c r="BM6" vm="305">
        <f ca="1"/>
        <v>162.41999999999999</v>
      </c>
      <c r="BN6" vm="306">
        <f ca="1"/>
        <v>162.06</v>
      </c>
      <c r="BO6" vm="307">
        <f ca="1"/>
        <v>160.88999999999999</v>
      </c>
      <c r="BP6" vm="308">
        <f ca="1"/>
        <v>162.79</v>
      </c>
      <c r="BQ6" vm="309">
        <f ca="1"/>
        <v>165.81</v>
      </c>
      <c r="BR6" vm="310">
        <f ca="1"/>
        <v>166.05</v>
      </c>
      <c r="BS6" vm="311">
        <f ca="1"/>
        <v>165.2</v>
      </c>
      <c r="BT6" vm="312">
        <f ca="1"/>
        <v>152.80000000000001</v>
      </c>
      <c r="BU6" vm="313">
        <f ca="1"/>
        <v>155.75</v>
      </c>
      <c r="BV6" vm="314">
        <f ca="1"/>
        <v>154.38</v>
      </c>
      <c r="BW6" vm="315">
        <f ca="1"/>
        <v>159.58000000000001</v>
      </c>
      <c r="BX6" vm="307">
        <f ca="1"/>
        <v>160.88999999999999</v>
      </c>
      <c r="BY6" vm="316">
        <f ca="1"/>
        <v>166.81</v>
      </c>
      <c r="BZ6" vm="317">
        <f ca="1"/>
        <v>165.4</v>
      </c>
      <c r="CA6" vm="318">
        <f ca="1"/>
        <v>167.43</v>
      </c>
      <c r="CB6" vm="319">
        <f ca="1"/>
        <v>167.87</v>
      </c>
      <c r="CC6" vm="320">
        <f ca="1"/>
        <v>165.32</v>
      </c>
      <c r="CD6" vm="321">
        <f ca="1"/>
        <v>170.06</v>
      </c>
      <c r="CE6" vm="322">
        <f ca="1"/>
        <v>171.98</v>
      </c>
      <c r="CF6" vm="323">
        <f ca="1"/>
        <v>169.59</v>
      </c>
      <c r="CG6" vm="324">
        <f ca="1"/>
        <v>173.98</v>
      </c>
      <c r="CH6" vm="325">
        <f ca="1"/>
        <v>173.38</v>
      </c>
      <c r="CI6" vm="326">
        <f ca="1"/>
        <v>172.96</v>
      </c>
      <c r="CJ6" vm="327">
        <f ca="1"/>
        <v>172.85</v>
      </c>
      <c r="CK6" vm="328">
        <f ca="1"/>
        <v>170.37</v>
      </c>
      <c r="CL6" vm="329">
        <f ca="1"/>
        <v>167.71</v>
      </c>
      <c r="CM6" vm="330">
        <f ca="1"/>
        <v>169.39</v>
      </c>
      <c r="CN6" vm="331">
        <f ca="1"/>
        <v>169.81</v>
      </c>
      <c r="CO6" vm="332">
        <f ca="1"/>
        <v>174.92</v>
      </c>
      <c r="CP6" vm="333">
        <f ca="1"/>
        <v>177.63</v>
      </c>
      <c r="CQ6" vm="334">
        <f ca="1"/>
        <v>180.01</v>
      </c>
      <c r="CR6" vm="335">
        <f ca="1"/>
        <v>178.79</v>
      </c>
      <c r="CS6" vm="336">
        <f ca="1"/>
        <v>176.97</v>
      </c>
      <c r="CT6" vm="337">
        <f ca="1"/>
        <v>175.88</v>
      </c>
      <c r="CU6" vm="338">
        <f ca="1"/>
        <v>177.94</v>
      </c>
      <c r="CV6" vm="339">
        <f ca="1"/>
        <v>177.23</v>
      </c>
      <c r="CW6" vm="324">
        <f ca="1"/>
        <v>173.98</v>
      </c>
      <c r="CX6" vm="340">
        <f ca="1"/>
        <v>167.73</v>
      </c>
      <c r="CY6" vm="341">
        <f ca="1"/>
        <v>166.01</v>
      </c>
      <c r="CZ6" vm="342">
        <f ca="1"/>
        <v>167.74</v>
      </c>
      <c r="DA6" vm="343">
        <f ca="1"/>
        <v>171.49</v>
      </c>
      <c r="DB6" vm="344">
        <f ca="1"/>
        <v>174.43</v>
      </c>
      <c r="DC6" vm="345">
        <f ca="1"/>
        <v>178.27</v>
      </c>
      <c r="DD6" vm="346">
        <f ca="1"/>
        <v>177.39</v>
      </c>
      <c r="DE6" vm="347">
        <f ca="1"/>
        <v>176.91</v>
      </c>
      <c r="DF6" vm="348">
        <f ca="1"/>
        <v>179.76</v>
      </c>
      <c r="DG6" vm="349">
        <f ca="1"/>
        <v>180.55</v>
      </c>
      <c r="DH6" vm="350">
        <f ca="1"/>
        <v>177.56</v>
      </c>
      <c r="DI6" vm="351">
        <f ca="1"/>
        <v>175.16</v>
      </c>
      <c r="DJ6" vm="352">
        <f ca="1"/>
        <v>177.66</v>
      </c>
      <c r="DK6" vm="353">
        <f ca="1"/>
        <v>178.7</v>
      </c>
      <c r="DL6" vm="354">
        <f ca="1"/>
        <v>181.31</v>
      </c>
      <c r="DM6" vm="355">
        <f ca="1"/>
        <v>182.81</v>
      </c>
      <c r="DN6" vm="356">
        <f ca="1"/>
        <v>183.1</v>
      </c>
      <c r="DO6" vm="357">
        <f ca="1"/>
        <v>183.77</v>
      </c>
      <c r="DP6" vm="358">
        <f ca="1"/>
        <v>184.7</v>
      </c>
      <c r="DQ6" vm="359">
        <f ca="1"/>
        <v>185.94</v>
      </c>
      <c r="DR6" vm="360">
        <f ca="1"/>
        <v>191.15</v>
      </c>
      <c r="DS6" vm="361">
        <f ca="1"/>
        <v>192.11</v>
      </c>
      <c r="DT6" vm="362">
        <f ca="1"/>
        <v>191.51</v>
      </c>
      <c r="DU6" vm="363">
        <f ca="1"/>
        <v>193.2</v>
      </c>
      <c r="DV6" vm="364">
        <f ca="1"/>
        <v>194.08</v>
      </c>
      <c r="DW6" vm="365">
        <f ca="1"/>
        <v>193.42</v>
      </c>
      <c r="DX6" vm="366">
        <f ca="1"/>
        <v>196.43</v>
      </c>
      <c r="DY6" vm="367">
        <f ca="1"/>
        <v>197.44</v>
      </c>
      <c r="DZ6" vm="368">
        <f ca="1"/>
        <v>192.86</v>
      </c>
      <c r="EA6" vm="369">
        <f ca="1"/>
        <v>189.95</v>
      </c>
      <c r="EB6" vm="370">
        <f ca="1"/>
        <v>195.75</v>
      </c>
      <c r="EC6" vm="371">
        <f ca="1"/>
        <v>195.32</v>
      </c>
      <c r="ED6" vm="372">
        <f ca="1"/>
        <v>196.92</v>
      </c>
      <c r="EE6" vm="373">
        <f ca="1"/>
        <v>197.28</v>
      </c>
      <c r="EF6" vm="374">
        <f ca="1"/>
        <v>202.09</v>
      </c>
      <c r="EG6" vm="375">
        <f ca="1"/>
        <v>201.63</v>
      </c>
      <c r="EH6" vm="376">
        <f ca="1"/>
        <v>204.16</v>
      </c>
      <c r="EI6" vm="377">
        <f ca="1"/>
        <v>203.03</v>
      </c>
      <c r="EJ6" vm="378">
        <f ca="1"/>
        <v>203.82</v>
      </c>
      <c r="EK6" vm="379">
        <f ca="1"/>
        <v>204.91</v>
      </c>
      <c r="EL6" vm="380">
        <f ca="1"/>
        <v>204.29</v>
      </c>
      <c r="EM6" vm="381">
        <f ca="1"/>
        <v>202.49</v>
      </c>
      <c r="EN6" vm="382">
        <f ca="1"/>
        <v>200.19</v>
      </c>
      <c r="EO6" vm="383">
        <f ca="1"/>
        <v>200.62</v>
      </c>
      <c r="EP6" vm="384">
        <f ca="1"/>
        <v>206.72</v>
      </c>
      <c r="EQ6" vm="385">
        <f ca="1"/>
        <v>209.16</v>
      </c>
      <c r="ER6" vm="386">
        <f ca="1"/>
        <v>207.95</v>
      </c>
      <c r="ES6" vm="387">
        <f ca="1"/>
        <v>208.21</v>
      </c>
      <c r="ET6" vm="388">
        <f ca="1"/>
        <v>212.37</v>
      </c>
      <c r="EU6" vm="389">
        <f ca="1"/>
        <v>213.53</v>
      </c>
      <c r="EV6" vm="390">
        <f ca="1"/>
        <v>211.99</v>
      </c>
      <c r="EW6" vm="391">
        <f ca="1"/>
        <v>231.1</v>
      </c>
      <c r="EX6" vm="392">
        <f ca="1"/>
        <v>232.66</v>
      </c>
      <c r="EY6" vm="393">
        <f ca="1"/>
        <v>235.17</v>
      </c>
      <c r="EZ6" vm="394">
        <f ca="1"/>
        <v>234.16</v>
      </c>
      <c r="FA6" vm="395">
        <f ca="1"/>
        <v>239.94</v>
      </c>
      <c r="FB6" vm="396">
        <f ca="1"/>
        <v>239.56</v>
      </c>
      <c r="FC6" vm="397">
        <f ca="1"/>
        <v>240.78</v>
      </c>
      <c r="FD6" vm="398">
        <f ca="1"/>
        <v>241.38</v>
      </c>
      <c r="FE6" vm="399">
        <f ca="1"/>
        <v>251.76</v>
      </c>
      <c r="FF6" vm="400">
        <f ca="1"/>
        <v>251.42</v>
      </c>
      <c r="FG6" vm="401">
        <f ca="1"/>
        <v>249.85</v>
      </c>
      <c r="FH6" vm="402">
        <f ca="1"/>
        <v>252.33</v>
      </c>
      <c r="FI6" vm="403">
        <f ca="1"/>
        <v>255.24</v>
      </c>
      <c r="FJ6" vm="404">
        <f ca="1"/>
        <v>252.88</v>
      </c>
      <c r="FK6" vm="405">
        <f ca="1"/>
        <v>252.34</v>
      </c>
      <c r="FL6" vm="406">
        <f ca="1"/>
        <v>247.83</v>
      </c>
      <c r="FM6" vm="407">
        <f ca="1"/>
        <v>246.57</v>
      </c>
      <c r="FN6" vm="408">
        <f ca="1"/>
        <v>247.18</v>
      </c>
      <c r="FO6" vm="409">
        <f ca="1"/>
        <v>244.36</v>
      </c>
      <c r="FP6" vm="410">
        <f ca="1"/>
        <v>243.55</v>
      </c>
      <c r="FQ6" vm="411">
        <f ca="1"/>
        <v>245.54</v>
      </c>
      <c r="FR6" vm="412">
        <f ca="1"/>
        <v>246.43</v>
      </c>
      <c r="FS6" vm="413">
        <f ca="1"/>
        <v>246.45</v>
      </c>
      <c r="FT6" vm="414">
        <f ca="1"/>
        <v>251.51</v>
      </c>
      <c r="FU6" vm="415">
        <f ca="1"/>
        <v>247.13</v>
      </c>
      <c r="FV6" vm="416">
        <f ca="1"/>
        <v>245.46</v>
      </c>
      <c r="FW6" vm="417">
        <f ca="1"/>
        <v>242.21</v>
      </c>
      <c r="FX6" vm="418">
        <f ca="1"/>
        <v>237.49</v>
      </c>
      <c r="FY6" vm="419">
        <f ca="1"/>
        <v>244.64</v>
      </c>
      <c r="FZ6" vm="420">
        <f ca="1"/>
        <v>246.19</v>
      </c>
      <c r="GA6" vm="421">
        <f ca="1"/>
        <v>251.71</v>
      </c>
      <c r="GB6" vm="422">
        <f ca="1"/>
        <v>251.88</v>
      </c>
      <c r="GC6" vm="423">
        <f ca="1"/>
        <v>253.79</v>
      </c>
      <c r="GD6" vm="424">
        <f ca="1"/>
        <v>257.02</v>
      </c>
      <c r="GE6" vm="425">
        <f ca="1"/>
        <v>251.34</v>
      </c>
      <c r="GF6" vm="426">
        <f ca="1"/>
        <v>252.53</v>
      </c>
      <c r="GG6" vm="427">
        <f ca="1"/>
        <v>253.73</v>
      </c>
      <c r="GH6" vm="428">
        <f ca="1"/>
        <v>260.51</v>
      </c>
      <c r="GI6" vm="429">
        <f ca="1"/>
        <v>269.93</v>
      </c>
      <c r="GJ6" vm="430">
        <f ca="1"/>
        <v>268.43</v>
      </c>
      <c r="GK6" vm="431">
        <f ca="1"/>
        <v>275.17</v>
      </c>
      <c r="GL6" vm="432">
        <f ca="1"/>
        <v>281.89999999999998</v>
      </c>
      <c r="GM6" vm="433">
        <f ca="1"/>
        <v>281.82</v>
      </c>
      <c r="GN6" vm="434">
        <f ca="1"/>
        <v>284.12</v>
      </c>
      <c r="GO6" vm="435">
        <f ca="1"/>
        <v>278.06</v>
      </c>
      <c r="GP6" vm="436">
        <f ca="1"/>
        <v>284.75</v>
      </c>
      <c r="GQ6" vm="437">
        <f ca="1"/>
        <v>285.33999999999997</v>
      </c>
      <c r="GR6" vm="438">
        <f ca="1"/>
        <v>279.7</v>
      </c>
      <c r="GS6" vm="439">
        <f ca="1"/>
        <v>290.58999999999997</v>
      </c>
      <c r="GT6" vm="440">
        <f ca="1"/>
        <v>291.74</v>
      </c>
      <c r="GU6" vm="441">
        <f ca="1"/>
        <v>287.43</v>
      </c>
      <c r="GV6" vm="442">
        <f ca="1"/>
        <v>279.12</v>
      </c>
      <c r="GW6" vm="443">
        <f ca="1"/>
        <v>276.98</v>
      </c>
      <c r="GX6" vm="444">
        <f ca="1"/>
        <v>285.60000000000002</v>
      </c>
      <c r="GY6" vm="445">
        <f ca="1"/>
        <v>284.95999999999998</v>
      </c>
      <c r="GZ6" vm="446">
        <f ca="1"/>
        <v>292.99</v>
      </c>
      <c r="HA6" vm="447">
        <f ca="1"/>
        <v>289.98</v>
      </c>
      <c r="HB6" vm="448">
        <f ca="1"/>
        <v>299.64999999999998</v>
      </c>
      <c r="HC6" vm="449">
        <f ca="1"/>
        <v>318.47000000000003</v>
      </c>
      <c r="HD6" vm="450">
        <f ca="1"/>
        <v>323.64</v>
      </c>
      <c r="HE6" vm="451">
        <f ca="1"/>
        <v>320.27999999999997</v>
      </c>
      <c r="HF6" vm="452">
        <f ca="1"/>
        <v>320.12</v>
      </c>
      <c r="HG6" vm="453">
        <f ca="1"/>
        <v>315.12</v>
      </c>
      <c r="HH6" vm="454">
        <f ca="1"/>
        <v>316.02</v>
      </c>
      <c r="HI6" vm="455">
        <f ca="1"/>
        <v>320.62</v>
      </c>
      <c r="HJ6" vm="456">
        <f ca="1"/>
        <v>318.39</v>
      </c>
      <c r="HK6" vm="457">
        <f ca="1"/>
        <v>322.08999999999997</v>
      </c>
      <c r="HL6" vm="458">
        <f ca="1"/>
        <v>314.45</v>
      </c>
      <c r="HM6" vm="459">
        <f ca="1"/>
        <v>317.75</v>
      </c>
      <c r="HN6" vm="460">
        <f ca="1"/>
        <v>321</v>
      </c>
      <c r="HO6" vm="461">
        <f ca="1"/>
        <v>313.7</v>
      </c>
      <c r="HP6" vm="462">
        <f ca="1"/>
        <v>310.52</v>
      </c>
      <c r="HQ6" vm="463">
        <f ca="1"/>
        <v>309.32</v>
      </c>
      <c r="HR6" vm="464">
        <f ca="1"/>
        <v>307.73</v>
      </c>
      <c r="HS6" vm="465">
        <f ca="1"/>
        <v>298.06</v>
      </c>
      <c r="HT6" vm="466">
        <f ca="1"/>
        <v>303.75</v>
      </c>
      <c r="HU6" vm="467">
        <f ca="1"/>
        <v>308.61</v>
      </c>
      <c r="HV6" vm="468">
        <f ca="1"/>
        <v>311.33</v>
      </c>
      <c r="HW6" vm="469">
        <f ca="1"/>
        <v>315.68</v>
      </c>
      <c r="HX6" vm="470">
        <f ca="1"/>
        <v>315.67</v>
      </c>
      <c r="HY6" vm="471">
        <f ca="1"/>
        <v>314.95999999999998</v>
      </c>
      <c r="HZ6" vm="472">
        <f ca="1"/>
        <v>314.39</v>
      </c>
      <c r="IA6" vm="473">
        <f ca="1"/>
        <v>314.55</v>
      </c>
      <c r="IB6" vm="474">
        <f ca="1"/>
        <v>313.8</v>
      </c>
      <c r="IC6" vm="475">
        <f ca="1"/>
        <v>315.32</v>
      </c>
      <c r="ID6" vm="476">
        <f ca="1"/>
        <v>317.32</v>
      </c>
      <c r="IE6" vm="473">
        <f ca="1"/>
        <v>314.55</v>
      </c>
      <c r="IF6" vm="477">
        <f ca="1"/>
        <v>322.43</v>
      </c>
      <c r="IG6" vm="478">
        <f ca="1"/>
        <v>326.01</v>
      </c>
      <c r="IH6" vm="479">
        <f ca="1"/>
        <v>329.14</v>
      </c>
      <c r="II6" vm="480">
        <f ca="1"/>
        <v>332.73</v>
      </c>
      <c r="IJ6" vm="481">
        <f ca="1"/>
        <v>336.43</v>
      </c>
      <c r="IK6" vm="482">
        <f ca="1"/>
        <v>336.31</v>
      </c>
      <c r="IL6" vm="483">
        <f ca="1"/>
        <v>333.16</v>
      </c>
      <c r="IM6" vm="484">
        <f ca="1"/>
        <v>330.34</v>
      </c>
      <c r="IN6" vm="485">
        <f ca="1"/>
        <v>322.16000000000003</v>
      </c>
      <c r="IO6" vm="486">
        <f ca="1"/>
        <v>328.38</v>
      </c>
      <c r="IP6" vm="487">
        <f ca="1"/>
        <v>330.84</v>
      </c>
      <c r="IQ6" vm="488">
        <f ca="1"/>
        <v>328.43</v>
      </c>
      <c r="IR6" vm="489">
        <f ca="1"/>
        <v>333.59</v>
      </c>
      <c r="IS6" vm="490">
        <f ca="1"/>
        <v>335</v>
      </c>
      <c r="IT6" vm="491">
        <f ca="1"/>
        <v>336.28</v>
      </c>
      <c r="IU6" vm="492">
        <f ca="1"/>
        <v>338.66</v>
      </c>
      <c r="IV6" vm="493">
        <f ca="1"/>
        <v>338.53</v>
      </c>
      <c r="IW6" vm="494">
        <f ca="1"/>
        <v>344.9</v>
      </c>
      <c r="IX6" vm="495">
        <f ca="1"/>
        <v>340.7</v>
      </c>
      <c r="IY6" vm="496">
        <f ca="1"/>
        <v>333.34</v>
      </c>
      <c r="IZ6" vm="497">
        <f ca="1"/>
        <v>331.33</v>
      </c>
      <c r="JA6" vm="498">
        <f ca="1"/>
        <v>323.10000000000002</v>
      </c>
      <c r="JB6" vm="499">
        <f ca="1"/>
        <v>324.39999999999998</v>
      </c>
      <c r="JC6" vm="500">
        <f ca="1"/>
        <v>318.63</v>
      </c>
    </row>
    <row r="7" spans="1:265" ht="20" customHeight="1" x14ac:dyDescent="0.2">
      <c r="B7" t="e" vm="501">
        <v>#VALUE!</v>
      </c>
      <c r="C7" t="str">
        <f ca="1"/>
        <v>Diversified Retail</v>
      </c>
      <c r="D7" t="str">
        <f ca="1"/>
        <v>USD</v>
      </c>
      <c r="E7">
        <v>0.21</v>
      </c>
      <c r="F7">
        <f ca="1"/>
        <v>206.96</v>
      </c>
      <c r="G7">
        <f ca="1"/>
        <v>43.461599999999997</v>
      </c>
      <c r="H7" s="10" cm="1">
        <f t="array" aca="1" ref="H7" ca="1">(F7-IF(C7="USD",_FV( B7,"Clôture précédente",TRUE)*$K$4,_FV( B7,"Clôture précédente",TRUE)))*E7</f>
        <v>-0.3695999999999981</v>
      </c>
      <c r="I7" s="7" cm="1">
        <f t="array" aca="1" ref="I7" ca="1">(F7-_FV(B7,"Clôture précédente",TRUE))/_FV(B7,"Clôture précédente",TRUE)</f>
        <v>-8.4323495592180473E-3</v>
      </c>
      <c r="J7" s="11">
        <f ca="1"/>
        <v>-6.5384000000000029</v>
      </c>
      <c r="K7" t="s">
        <v>19</v>
      </c>
      <c r="M7" cm="1" vm="502">
        <f t="array" aca="1" ref="M7:JC7" ca="1">TRANSPOSE(_xlfn.STOCKHISTORY(B7,TODAY()-365,TODAY(),0,0,1))</f>
        <v>232.76</v>
      </c>
      <c r="N7" vm="503">
        <f ca="1"/>
        <v>228.93</v>
      </c>
      <c r="O7" vm="504">
        <f ca="1"/>
        <v>230.37</v>
      </c>
      <c r="P7" vm="505">
        <f ca="1"/>
        <v>228.68</v>
      </c>
      <c r="Q7" vm="506">
        <f ca="1"/>
        <v>226.65</v>
      </c>
      <c r="R7" vm="507">
        <f ca="1"/>
        <v>226.63</v>
      </c>
      <c r="S7" vm="508">
        <f ca="1"/>
        <v>222.88</v>
      </c>
      <c r="T7" vm="509">
        <f ca="1"/>
        <v>216.58</v>
      </c>
      <c r="U7" vm="510">
        <f ca="1"/>
        <v>212.71</v>
      </c>
      <c r="V7" vm="511">
        <f ca="1"/>
        <v>212.8</v>
      </c>
      <c r="W7" vm="512">
        <f ca="1"/>
        <v>214.35</v>
      </c>
      <c r="X7" vm="513">
        <f ca="1"/>
        <v>208.74</v>
      </c>
      <c r="Y7" vm="514">
        <f ca="1"/>
        <v>212.28</v>
      </c>
      <c r="Z7" vm="515">
        <f ca="1"/>
        <v>205.02</v>
      </c>
      <c r="AA7" vm="516">
        <f ca="1"/>
        <v>203.8</v>
      </c>
      <c r="AB7" vm="517">
        <f ca="1"/>
        <v>208.36</v>
      </c>
      <c r="AC7" vm="518">
        <f ca="1"/>
        <v>200.7</v>
      </c>
      <c r="AD7" vm="519">
        <f ca="1"/>
        <v>199.25</v>
      </c>
      <c r="AE7" vm="520">
        <f ca="1"/>
        <v>194.54</v>
      </c>
      <c r="AF7" vm="521">
        <f ca="1"/>
        <v>196.59</v>
      </c>
      <c r="AG7" vm="522">
        <f ca="1"/>
        <v>198.89</v>
      </c>
      <c r="AH7" vm="523">
        <f ca="1"/>
        <v>193.89</v>
      </c>
      <c r="AI7" vm="524">
        <f ca="1"/>
        <v>197.95</v>
      </c>
      <c r="AJ7" vm="525">
        <f ca="1"/>
        <v>195.74</v>
      </c>
      <c r="AK7" vm="526">
        <f ca="1"/>
        <v>192.82</v>
      </c>
      <c r="AL7" vm="527">
        <f ca="1"/>
        <v>195.54</v>
      </c>
      <c r="AM7" vm="528">
        <f ca="1"/>
        <v>194.95</v>
      </c>
      <c r="AN7" vm="529">
        <f ca="1"/>
        <v>196.21</v>
      </c>
      <c r="AO7" vm="530">
        <f ca="1"/>
        <v>203.26</v>
      </c>
      <c r="AP7" vm="531">
        <f ca="1"/>
        <v>205.71</v>
      </c>
      <c r="AQ7" vm="532">
        <f ca="1"/>
        <v>201.13</v>
      </c>
      <c r="AR7" vm="533">
        <f ca="1"/>
        <v>201.36</v>
      </c>
      <c r="AS7" vm="534">
        <f ca="1"/>
        <v>192.72</v>
      </c>
      <c r="AT7" vm="535">
        <f ca="1"/>
        <v>190.26</v>
      </c>
      <c r="AU7" vm="536">
        <f ca="1"/>
        <v>192.17</v>
      </c>
      <c r="AV7" vm="537">
        <f ca="1"/>
        <v>196.01</v>
      </c>
      <c r="AW7" vm="538">
        <f ca="1"/>
        <v>178.41</v>
      </c>
      <c r="AX7" vm="539">
        <f ca="1"/>
        <v>171</v>
      </c>
      <c r="AY7" vm="540">
        <f ca="1"/>
        <v>175.26</v>
      </c>
      <c r="AZ7" vm="541">
        <f ca="1"/>
        <v>170.66</v>
      </c>
      <c r="BA7" vm="542">
        <f ca="1"/>
        <v>191.1</v>
      </c>
      <c r="BB7" vm="543">
        <f ca="1"/>
        <v>181.22</v>
      </c>
      <c r="BC7" vm="544">
        <f ca="1"/>
        <v>184.87</v>
      </c>
      <c r="BD7" vm="545">
        <f ca="1"/>
        <v>182.12</v>
      </c>
      <c r="BE7" vm="546">
        <f ca="1"/>
        <v>179.59</v>
      </c>
      <c r="BF7" vm="547">
        <f ca="1"/>
        <v>174.33</v>
      </c>
      <c r="BG7" vm="268">
        <f ca="1"/>
        <v>172.61</v>
      </c>
      <c r="BH7" vm="548">
        <f ca="1"/>
        <v>167.32</v>
      </c>
      <c r="BI7" vm="549">
        <f ca="1"/>
        <v>173.18</v>
      </c>
      <c r="BJ7" vm="550">
        <f ca="1"/>
        <v>180.6</v>
      </c>
      <c r="BK7" vm="551">
        <f ca="1"/>
        <v>186.54</v>
      </c>
      <c r="BL7" vm="552">
        <f ca="1"/>
        <v>188.99</v>
      </c>
      <c r="BM7" vm="553">
        <f ca="1"/>
        <v>187.7</v>
      </c>
      <c r="BN7" vm="554">
        <f ca="1"/>
        <v>187.39</v>
      </c>
      <c r="BO7" vm="555">
        <f ca="1"/>
        <v>184.42</v>
      </c>
      <c r="BP7" vm="556">
        <f ca="1"/>
        <v>190.2</v>
      </c>
      <c r="BQ7" vm="557">
        <f ca="1"/>
        <v>189.98</v>
      </c>
      <c r="BR7" vm="558">
        <f ca="1"/>
        <v>186.35</v>
      </c>
      <c r="BS7" vm="559">
        <f ca="1"/>
        <v>185.01</v>
      </c>
      <c r="BT7" vm="560">
        <f ca="1"/>
        <v>188.71</v>
      </c>
      <c r="BU7" vm="561">
        <f ca="1"/>
        <v>192.08</v>
      </c>
      <c r="BV7" vm="562">
        <f ca="1"/>
        <v>193.06</v>
      </c>
      <c r="BW7" vm="563">
        <f ca="1"/>
        <v>208.64</v>
      </c>
      <c r="BX7" vm="564">
        <f ca="1"/>
        <v>211.37</v>
      </c>
      <c r="BY7" vm="565">
        <f ca="1"/>
        <v>210.25</v>
      </c>
      <c r="BZ7" vm="566">
        <f ca="1"/>
        <v>205.17</v>
      </c>
      <c r="CA7" vm="567">
        <f ca="1"/>
        <v>205.59</v>
      </c>
      <c r="CB7" vm="568">
        <f ca="1"/>
        <v>206.16</v>
      </c>
      <c r="CC7" vm="569">
        <f ca="1"/>
        <v>204.07</v>
      </c>
      <c r="CD7" vm="570">
        <f ca="1"/>
        <v>201.12</v>
      </c>
      <c r="CE7" vm="571">
        <f ca="1"/>
        <v>203.1</v>
      </c>
      <c r="CF7" vm="572">
        <f ca="1"/>
        <v>200.99</v>
      </c>
      <c r="CG7" vm="573">
        <f ca="1"/>
        <v>206.02</v>
      </c>
      <c r="CH7" vm="574">
        <f ca="1"/>
        <v>204.72</v>
      </c>
      <c r="CI7" vm="575">
        <f ca="1"/>
        <v>205.7</v>
      </c>
      <c r="CJ7" vm="576">
        <f ca="1"/>
        <v>205.01</v>
      </c>
      <c r="CK7" vm="577">
        <f ca="1"/>
        <v>206.65</v>
      </c>
      <c r="CL7" vm="531">
        <f ca="1"/>
        <v>205.71</v>
      </c>
      <c r="CM7" vm="578">
        <f ca="1"/>
        <v>207.23</v>
      </c>
      <c r="CN7" vm="579">
        <f ca="1"/>
        <v>207.91</v>
      </c>
      <c r="CO7" vm="580">
        <f ca="1"/>
        <v>213.57</v>
      </c>
      <c r="CP7" vm="581">
        <f ca="1"/>
        <v>216.98</v>
      </c>
      <c r="CQ7" vm="582">
        <f ca="1"/>
        <v>217.61</v>
      </c>
      <c r="CR7" vm="583">
        <f ca="1"/>
        <v>213.2</v>
      </c>
      <c r="CS7" vm="584">
        <f ca="1"/>
        <v>213.24</v>
      </c>
      <c r="CT7" vm="585">
        <f ca="1"/>
        <v>212.1</v>
      </c>
      <c r="CU7" vm="586">
        <f ca="1"/>
        <v>216.1</v>
      </c>
      <c r="CV7" vm="587">
        <f ca="1"/>
        <v>214.82</v>
      </c>
      <c r="CW7" vm="588">
        <f ca="1"/>
        <v>212.52</v>
      </c>
      <c r="CX7" vm="589">
        <f ca="1"/>
        <v>209.69</v>
      </c>
      <c r="CY7" vm="590">
        <f ca="1"/>
        <v>208.47</v>
      </c>
      <c r="CZ7" vm="591">
        <f ca="1"/>
        <v>212.77</v>
      </c>
      <c r="DA7" vm="390">
        <f ca="1"/>
        <v>211.99</v>
      </c>
      <c r="DB7" vm="592">
        <f ca="1"/>
        <v>217.12</v>
      </c>
      <c r="DC7" vm="593">
        <f ca="1"/>
        <v>223.3</v>
      </c>
      <c r="DD7" vm="594">
        <f ca="1"/>
        <v>219.39</v>
      </c>
      <c r="DE7" vm="595">
        <f ca="1"/>
        <v>220.46</v>
      </c>
      <c r="DF7" vm="596">
        <f ca="1"/>
        <v>219.92</v>
      </c>
      <c r="DG7" vm="597">
        <f ca="1"/>
        <v>223.41</v>
      </c>
      <c r="DH7" vm="598">
        <f ca="1"/>
        <v>223.47</v>
      </c>
      <c r="DI7" vm="599">
        <f ca="1"/>
        <v>219.36</v>
      </c>
      <c r="DJ7" vm="600">
        <f ca="1"/>
        <v>222.54</v>
      </c>
      <c r="DK7" vm="601">
        <f ca="1"/>
        <v>222.26</v>
      </c>
      <c r="DL7" vm="602">
        <f ca="1"/>
        <v>225.02</v>
      </c>
      <c r="DM7" vm="603">
        <f ca="1"/>
        <v>225.69</v>
      </c>
      <c r="DN7" vm="604">
        <f ca="1"/>
        <v>226.35</v>
      </c>
      <c r="DO7" vm="605">
        <f ca="1"/>
        <v>223.19</v>
      </c>
      <c r="DP7" vm="606">
        <f ca="1"/>
        <v>223.88</v>
      </c>
      <c r="DQ7" vm="607">
        <f ca="1"/>
        <v>226.13</v>
      </c>
      <c r="DR7" vm="608">
        <f ca="1"/>
        <v>229.3</v>
      </c>
      <c r="DS7" vm="609">
        <f ca="1"/>
        <v>227.47</v>
      </c>
      <c r="DT7" vm="610">
        <f ca="1"/>
        <v>228.29</v>
      </c>
      <c r="DU7" vm="611">
        <f ca="1"/>
        <v>232.23</v>
      </c>
      <c r="DV7" vm="612">
        <f ca="1"/>
        <v>231.44</v>
      </c>
      <c r="DW7" vm="613">
        <f ca="1"/>
        <v>232.79</v>
      </c>
      <c r="DX7" vm="614">
        <f ca="1"/>
        <v>231.01</v>
      </c>
      <c r="DY7" vm="615">
        <f ca="1"/>
        <v>230.19</v>
      </c>
      <c r="DZ7" vm="616">
        <f ca="1"/>
        <v>234.11</v>
      </c>
      <c r="EA7" vm="617">
        <f ca="1"/>
        <v>214.75</v>
      </c>
      <c r="EB7" vm="618">
        <f ca="1"/>
        <v>211.65</v>
      </c>
      <c r="EC7" vm="619">
        <f ca="1"/>
        <v>213.75</v>
      </c>
      <c r="ED7" vm="620">
        <f ca="1"/>
        <v>222.31</v>
      </c>
      <c r="EE7" vm="621">
        <f ca="1"/>
        <v>223.13</v>
      </c>
      <c r="EF7" vm="622">
        <f ca="1"/>
        <v>222.69</v>
      </c>
      <c r="EG7" vm="623">
        <f ca="1"/>
        <v>221.3</v>
      </c>
      <c r="EH7" vm="624">
        <f ca="1"/>
        <v>221.47</v>
      </c>
      <c r="EI7" vm="625">
        <f ca="1"/>
        <v>224.56</v>
      </c>
      <c r="EJ7" vm="626">
        <f ca="1"/>
        <v>230.98</v>
      </c>
      <c r="EK7" vm="627">
        <f ca="1"/>
        <v>231.03</v>
      </c>
      <c r="EL7" vm="628">
        <f ca="1"/>
        <v>231.49</v>
      </c>
      <c r="EM7" vm="629">
        <f ca="1"/>
        <v>228.01</v>
      </c>
      <c r="EN7" vm="630">
        <f ca="1"/>
        <v>223.81</v>
      </c>
      <c r="EO7" vm="631">
        <f ca="1"/>
        <v>221.95</v>
      </c>
      <c r="EP7" vm="632">
        <f ca="1"/>
        <v>228.84</v>
      </c>
      <c r="EQ7" vm="633">
        <f ca="1"/>
        <v>227.94</v>
      </c>
      <c r="ER7" vm="634">
        <f ca="1"/>
        <v>228.71</v>
      </c>
      <c r="ES7" vm="635">
        <f ca="1"/>
        <v>229.12</v>
      </c>
      <c r="ET7" vm="636">
        <f ca="1"/>
        <v>231.6</v>
      </c>
      <c r="EU7" vm="637">
        <f ca="1"/>
        <v>229</v>
      </c>
      <c r="EV7" vm="638">
        <f ca="1"/>
        <v>225.34</v>
      </c>
      <c r="EW7" vm="639">
        <f ca="1"/>
        <v>225.99</v>
      </c>
      <c r="EX7" vm="640">
        <f ca="1"/>
        <v>235.68</v>
      </c>
      <c r="EY7" vm="641">
        <f ca="1"/>
        <v>232.33</v>
      </c>
      <c r="EZ7" vm="642">
        <f ca="1"/>
        <v>235.84</v>
      </c>
      <c r="FA7" vm="643">
        <f ca="1"/>
        <v>238.24</v>
      </c>
      <c r="FB7" vm="644">
        <f ca="1"/>
        <v>230.33</v>
      </c>
      <c r="FC7" vm="645">
        <f ca="1"/>
        <v>229.95</v>
      </c>
      <c r="FD7" vm="646">
        <f ca="1"/>
        <v>228.15</v>
      </c>
      <c r="FE7" vm="647">
        <f ca="1"/>
        <v>231.43</v>
      </c>
      <c r="FF7" vm="648">
        <f ca="1"/>
        <v>234.05</v>
      </c>
      <c r="FG7" vm="649">
        <f ca="1"/>
        <v>231.62</v>
      </c>
      <c r="FH7" vm="650">
        <f ca="1"/>
        <v>231.23</v>
      </c>
      <c r="FI7" vm="651">
        <f ca="1"/>
        <v>231.48</v>
      </c>
      <c r="FJ7" vm="652">
        <f ca="1"/>
        <v>227.63</v>
      </c>
      <c r="FK7" vm="653">
        <f ca="1"/>
        <v>220.71</v>
      </c>
      <c r="FL7" vm="654">
        <f ca="1"/>
        <v>220.21</v>
      </c>
      <c r="FM7" vm="655">
        <f ca="1"/>
        <v>218.15</v>
      </c>
      <c r="FN7" vm="656">
        <f ca="1"/>
        <v>219.78</v>
      </c>
      <c r="FO7" vm="657">
        <f ca="1"/>
        <v>222.17</v>
      </c>
      <c r="FP7" vm="658">
        <f ca="1"/>
        <v>219.57</v>
      </c>
      <c r="FQ7" vm="659">
        <f ca="1"/>
        <v>220.63</v>
      </c>
      <c r="FR7" vm="660">
        <f ca="1"/>
        <v>222.41</v>
      </c>
      <c r="FS7" vm="661">
        <f ca="1"/>
        <v>219.51</v>
      </c>
      <c r="FT7" vm="662">
        <f ca="1"/>
        <v>220.9</v>
      </c>
      <c r="FU7" vm="663">
        <f ca="1"/>
        <v>221.78</v>
      </c>
      <c r="FV7" vm="664">
        <f ca="1"/>
        <v>225.22</v>
      </c>
      <c r="FW7" vm="665">
        <f ca="1"/>
        <v>227.74</v>
      </c>
      <c r="FX7" vm="666">
        <f ca="1"/>
        <v>216.37</v>
      </c>
      <c r="FY7" vm="667">
        <f ca="1"/>
        <v>220.07</v>
      </c>
      <c r="FZ7" vm="668">
        <f ca="1"/>
        <v>216.39</v>
      </c>
      <c r="GA7" vm="669">
        <f ca="1"/>
        <v>215.57</v>
      </c>
      <c r="GB7" vm="670">
        <f ca="1"/>
        <v>214.47</v>
      </c>
      <c r="GC7" vm="671">
        <f ca="1"/>
        <v>213.04</v>
      </c>
      <c r="GD7" vm="672">
        <f ca="1"/>
        <v>216.48</v>
      </c>
      <c r="GE7" vm="673">
        <f ca="1"/>
        <v>222.03</v>
      </c>
      <c r="GF7" vm="674">
        <f ca="1"/>
        <v>217.95</v>
      </c>
      <c r="GG7" vm="675">
        <f ca="1"/>
        <v>221.09</v>
      </c>
      <c r="GH7" vm="676">
        <f ca="1"/>
        <v>224.21</v>
      </c>
      <c r="GI7" vm="677">
        <f ca="1"/>
        <v>226.97</v>
      </c>
      <c r="GJ7" vm="678">
        <f ca="1"/>
        <v>229.25</v>
      </c>
      <c r="GK7" vm="679">
        <f ca="1"/>
        <v>230.3</v>
      </c>
      <c r="GL7" vm="680">
        <f ca="1"/>
        <v>222.86</v>
      </c>
      <c r="GM7" vm="681">
        <f ca="1"/>
        <v>244.22</v>
      </c>
      <c r="GN7" vm="682">
        <f ca="1"/>
        <v>254</v>
      </c>
      <c r="GO7" vm="683">
        <f ca="1"/>
        <v>249.32</v>
      </c>
      <c r="GP7" vm="684">
        <f ca="1"/>
        <v>250.2</v>
      </c>
      <c r="GQ7" vm="685">
        <f ca="1"/>
        <v>243.04</v>
      </c>
      <c r="GR7" vm="686">
        <f ca="1"/>
        <v>244.41</v>
      </c>
      <c r="GS7" vm="687">
        <f ca="1"/>
        <v>248.4</v>
      </c>
      <c r="GT7" vm="688">
        <f ca="1"/>
        <v>249.1</v>
      </c>
      <c r="GU7" vm="689">
        <f ca="1"/>
        <v>244.2</v>
      </c>
      <c r="GV7" vm="690">
        <f ca="1"/>
        <v>237.58</v>
      </c>
      <c r="GW7" vm="691">
        <f ca="1"/>
        <v>234.69</v>
      </c>
      <c r="GX7" vm="692">
        <f ca="1"/>
        <v>232.87</v>
      </c>
      <c r="GY7" vm="693">
        <f ca="1"/>
        <v>222.55</v>
      </c>
      <c r="GZ7" vm="622">
        <f ca="1"/>
        <v>222.69</v>
      </c>
      <c r="HA7" vm="694">
        <f ca="1"/>
        <v>217.14</v>
      </c>
      <c r="HB7" vm="695">
        <f ca="1"/>
        <v>220.69</v>
      </c>
      <c r="HC7" vm="696">
        <f ca="1"/>
        <v>226.28</v>
      </c>
      <c r="HD7" vm="697">
        <f ca="1"/>
        <v>229.67</v>
      </c>
      <c r="HE7" vm="698">
        <f ca="1"/>
        <v>229.16</v>
      </c>
      <c r="HF7" vm="699">
        <f ca="1"/>
        <v>233.22</v>
      </c>
      <c r="HG7" vm="700">
        <f ca="1"/>
        <v>233.88</v>
      </c>
      <c r="HH7" vm="701">
        <f ca="1"/>
        <v>234.42</v>
      </c>
      <c r="HI7" vm="702">
        <f ca="1"/>
        <v>232.38</v>
      </c>
      <c r="HJ7" vm="703">
        <f ca="1"/>
        <v>229.11</v>
      </c>
      <c r="HK7" vm="704">
        <f ca="1"/>
        <v>229.53</v>
      </c>
      <c r="HL7" vm="705">
        <f ca="1"/>
        <v>226.89</v>
      </c>
      <c r="HM7" vm="706">
        <f ca="1"/>
        <v>227.92</v>
      </c>
      <c r="HN7" vm="707">
        <f ca="1"/>
        <v>231.78</v>
      </c>
      <c r="HO7" vm="708">
        <f ca="1"/>
        <v>230.28</v>
      </c>
      <c r="HP7" vm="709">
        <f ca="1"/>
        <v>226.19</v>
      </c>
      <c r="HQ7" vm="600">
        <f ca="1"/>
        <v>222.54</v>
      </c>
      <c r="HR7" vm="710">
        <f ca="1"/>
        <v>222.56</v>
      </c>
      <c r="HS7" vm="711">
        <f ca="1"/>
        <v>221.27</v>
      </c>
      <c r="HT7" vm="712">
        <f ca="1"/>
        <v>226.76</v>
      </c>
      <c r="HU7" vm="713">
        <f ca="1"/>
        <v>227.35</v>
      </c>
      <c r="HV7" vm="714">
        <f ca="1"/>
        <v>228.43</v>
      </c>
      <c r="HW7" vm="715">
        <f ca="1"/>
        <v>232.14</v>
      </c>
      <c r="HX7" vm="702">
        <f ca="1"/>
        <v>232.38</v>
      </c>
      <c r="HY7" vm="716">
        <f ca="1"/>
        <v>232.52</v>
      </c>
      <c r="HZ7" vm="717">
        <f ca="1"/>
        <v>232.07</v>
      </c>
      <c r="IA7" vm="718">
        <f ca="1"/>
        <v>232.53</v>
      </c>
      <c r="IB7" vm="719">
        <f ca="1"/>
        <v>230.82</v>
      </c>
      <c r="IC7" vm="720">
        <f ca="1"/>
        <v>226.5</v>
      </c>
      <c r="ID7" vm="721">
        <f ca="1"/>
        <v>233.06</v>
      </c>
      <c r="IE7" vm="722">
        <f ca="1"/>
        <v>240.93</v>
      </c>
      <c r="IF7" vm="723">
        <f ca="1"/>
        <v>241.56</v>
      </c>
      <c r="IG7" vm="724">
        <f ca="1"/>
        <v>246.29</v>
      </c>
      <c r="IH7" vm="725">
        <f ca="1"/>
        <v>247.38</v>
      </c>
      <c r="II7" vm="726">
        <f ca="1"/>
        <v>246.47</v>
      </c>
      <c r="IJ7" vm="727">
        <f ca="1"/>
        <v>242.6</v>
      </c>
      <c r="IK7" vm="728">
        <f ca="1"/>
        <v>236.65</v>
      </c>
      <c r="IL7" vm="729">
        <f ca="1"/>
        <v>238.18</v>
      </c>
      <c r="IM7" vm="730">
        <f ca="1"/>
        <v>239.12</v>
      </c>
      <c r="IN7" vm="731">
        <f ca="1"/>
        <v>231</v>
      </c>
      <c r="IO7" vm="732">
        <f ca="1"/>
        <v>231.31</v>
      </c>
      <c r="IP7" vm="733">
        <f ca="1"/>
        <v>234.34</v>
      </c>
      <c r="IQ7" vm="734">
        <f ca="1"/>
        <v>239.16</v>
      </c>
      <c r="IR7" vm="735">
        <f ca="1"/>
        <v>238.42</v>
      </c>
      <c r="IS7" vm="736">
        <f ca="1"/>
        <v>244.68</v>
      </c>
      <c r="IT7" vm="737">
        <f ca="1"/>
        <v>243.01</v>
      </c>
      <c r="IU7" vm="738">
        <f ca="1"/>
        <v>241.73</v>
      </c>
      <c r="IV7" vm="739">
        <f ca="1"/>
        <v>239.3</v>
      </c>
      <c r="IW7" vm="740">
        <f ca="1"/>
        <v>242.96</v>
      </c>
      <c r="IX7" vm="741">
        <f ca="1"/>
        <v>238.62</v>
      </c>
      <c r="IY7" vm="742">
        <f ca="1"/>
        <v>232.99</v>
      </c>
      <c r="IZ7" vm="622">
        <f ca="1"/>
        <v>222.69</v>
      </c>
      <c r="JA7" vm="743">
        <f ca="1"/>
        <v>210.32</v>
      </c>
      <c r="JB7" vm="744">
        <f ca="1"/>
        <v>208.72</v>
      </c>
      <c r="JC7" vm="745">
        <f ca="1"/>
        <v>206.96</v>
      </c>
    </row>
    <row r="8" spans="1:265" ht="20" customHeight="1" x14ac:dyDescent="0.2">
      <c r="B8" t="e" vm="746">
        <v>#VALUE!</v>
      </c>
      <c r="C8" t="str">
        <f ca="1"/>
        <v>Semiconductors &amp; Semiconductor Equipment</v>
      </c>
      <c r="D8" t="str">
        <f ca="1"/>
        <v>USD</v>
      </c>
      <c r="E8">
        <v>1</v>
      </c>
      <c r="F8">
        <f ca="1"/>
        <v>340.44</v>
      </c>
      <c r="G8">
        <f ca="1"/>
        <v>340.44</v>
      </c>
      <c r="H8" s="10" cm="1">
        <f t="array" aca="1" ref="H8" ca="1">(F8-IF(C8="USD",_FV( B8,"Clôture précédente",TRUE)*$K$4,_FV( B8,"Clôture précédente",TRUE)))*E8</f>
        <v>-3.5</v>
      </c>
      <c r="I8" s="7" cm="1">
        <f t="array" aca="1" ref="I8" ca="1">(F8-_FV(B8,"Clôture précédente",TRUE))/_FV(B8,"Clôture précédente",TRUE)</f>
        <v>-1.0176193522125952E-2</v>
      </c>
      <c r="J8" s="11">
        <f ca="1"/>
        <v>-12.45999999999998</v>
      </c>
      <c r="K8" t="s">
        <v>19</v>
      </c>
      <c r="M8" cm="1" vm="747">
        <f t="array" aca="1" ref="M8:JC8" ca="1">TRANSPOSE(_xlfn.STOCKHISTORY(B8,TODAY()-365,TODAY(),0,0,1))</f>
        <v>235.04</v>
      </c>
      <c r="N8" vm="748">
        <f ca="1"/>
        <v>236.35</v>
      </c>
      <c r="O8" vm="749">
        <f ca="1"/>
        <v>235.8</v>
      </c>
      <c r="P8" vm="750">
        <f ca="1"/>
        <v>233.04</v>
      </c>
      <c r="Q8" vm="751">
        <f ca="1"/>
        <v>228.53</v>
      </c>
      <c r="R8" vm="752">
        <f ca="1"/>
        <v>228.73</v>
      </c>
      <c r="S8" vm="753">
        <f ca="1"/>
        <v>226.74</v>
      </c>
      <c r="T8" vm="754">
        <f ca="1"/>
        <v>218.66</v>
      </c>
      <c r="U8" vm="755">
        <f ca="1"/>
        <v>207.93</v>
      </c>
      <c r="V8" vm="756">
        <f ca="1"/>
        <v>202.54</v>
      </c>
      <c r="W8" vm="757">
        <f ca="1"/>
        <v>212.94</v>
      </c>
      <c r="X8" vm="758">
        <f ca="1"/>
        <v>197.8</v>
      </c>
      <c r="Y8" vm="759">
        <f ca="1"/>
        <v>199.43</v>
      </c>
      <c r="Z8" vm="760">
        <f ca="1"/>
        <v>187.37</v>
      </c>
      <c r="AA8" vm="761">
        <f ca="1"/>
        <v>187.48</v>
      </c>
      <c r="AB8" vm="762">
        <f ca="1"/>
        <v>191.58</v>
      </c>
      <c r="AC8" vm="763">
        <f ca="1"/>
        <v>179.45</v>
      </c>
      <c r="AD8" vm="764">
        <f ca="1"/>
        <v>194.96</v>
      </c>
      <c r="AE8" vm="765">
        <f ca="1"/>
        <v>184.45</v>
      </c>
      <c r="AF8" vm="766">
        <f ca="1"/>
        <v>190.09</v>
      </c>
      <c r="AG8" vm="767">
        <f ca="1"/>
        <v>194.23</v>
      </c>
      <c r="AH8" vm="768">
        <f ca="1"/>
        <v>191.36</v>
      </c>
      <c r="AI8" vm="527">
        <f ca="1"/>
        <v>195.54</v>
      </c>
      <c r="AJ8" vm="769">
        <f ca="1"/>
        <v>194.5</v>
      </c>
      <c r="AK8" vm="770">
        <f ca="1"/>
        <v>188.67</v>
      </c>
      <c r="AL8" vm="771">
        <f ca="1"/>
        <v>195.57</v>
      </c>
      <c r="AM8" vm="772">
        <f ca="1"/>
        <v>190.54</v>
      </c>
      <c r="AN8" vm="773">
        <f ca="1"/>
        <v>191.66</v>
      </c>
      <c r="AO8" vm="774">
        <f ca="1"/>
        <v>191.25</v>
      </c>
      <c r="AP8" vm="775">
        <f ca="1"/>
        <v>188.26</v>
      </c>
      <c r="AQ8" vm="776">
        <f ca="1"/>
        <v>179.27</v>
      </c>
      <c r="AR8" vm="777">
        <f ca="1"/>
        <v>171.99</v>
      </c>
      <c r="AS8" vm="778">
        <f ca="1"/>
        <v>169.12</v>
      </c>
      <c r="AT8" vm="318">
        <f ca="1"/>
        <v>167.43</v>
      </c>
      <c r="AU8" vm="779">
        <f ca="1"/>
        <v>168.52</v>
      </c>
      <c r="AV8" vm="780">
        <f ca="1"/>
        <v>172.09</v>
      </c>
      <c r="AW8" vm="781">
        <f ca="1"/>
        <v>154.01</v>
      </c>
      <c r="AX8" vm="782">
        <f ca="1"/>
        <v>146.29</v>
      </c>
      <c r="AY8" vm="783">
        <f ca="1"/>
        <v>154.13999999999999</v>
      </c>
      <c r="AZ8" vm="784">
        <f ca="1"/>
        <v>156.03</v>
      </c>
      <c r="BA8" vm="785">
        <f ca="1"/>
        <v>185.15</v>
      </c>
      <c r="BB8" vm="786">
        <f ca="1"/>
        <v>172.3</v>
      </c>
      <c r="BC8" vm="787">
        <f ca="1"/>
        <v>181.94</v>
      </c>
      <c r="BD8" vm="788">
        <f ca="1"/>
        <v>178.36</v>
      </c>
      <c r="BE8" vm="789">
        <f ca="1"/>
        <v>178.95</v>
      </c>
      <c r="BF8" vm="790">
        <f ca="1"/>
        <v>174.61</v>
      </c>
      <c r="BG8" vm="791">
        <f ca="1"/>
        <v>170.99</v>
      </c>
      <c r="BH8" vm="792">
        <f ca="1"/>
        <v>166.21</v>
      </c>
      <c r="BI8" vm="793">
        <f ca="1"/>
        <v>169.58</v>
      </c>
      <c r="BJ8" vm="347">
        <f ca="1"/>
        <v>176.91</v>
      </c>
      <c r="BK8" vm="794">
        <f ca="1"/>
        <v>188.15</v>
      </c>
      <c r="BL8" vm="795">
        <f ca="1"/>
        <v>192.31</v>
      </c>
      <c r="BM8" vm="796">
        <f ca="1"/>
        <v>192.47</v>
      </c>
      <c r="BN8" vm="797">
        <f ca="1"/>
        <v>191.17</v>
      </c>
      <c r="BO8" vm="796">
        <f ca="1"/>
        <v>192.47</v>
      </c>
      <c r="BP8" vm="798">
        <f ca="1"/>
        <v>197.33</v>
      </c>
      <c r="BQ8" vm="799">
        <f ca="1"/>
        <v>203.64</v>
      </c>
      <c r="BR8" vm="800">
        <f ca="1"/>
        <v>200.72</v>
      </c>
      <c r="BS8" vm="801">
        <f ca="1"/>
        <v>200.09</v>
      </c>
      <c r="BT8" vm="802">
        <f ca="1"/>
        <v>204.81</v>
      </c>
      <c r="BU8" vm="803">
        <f ca="1"/>
        <v>207.77</v>
      </c>
      <c r="BV8" vm="804">
        <f ca="1"/>
        <v>208.2</v>
      </c>
      <c r="BW8" vm="805">
        <f ca="1"/>
        <v>221.58</v>
      </c>
      <c r="BX8" vm="806">
        <f ca="1"/>
        <v>232.42</v>
      </c>
      <c r="BY8" vm="807">
        <f ca="1"/>
        <v>232.12</v>
      </c>
      <c r="BZ8" vm="808">
        <f ca="1"/>
        <v>232.64</v>
      </c>
      <c r="CA8" vm="809">
        <f ca="1"/>
        <v>228.61</v>
      </c>
      <c r="CB8" vm="810">
        <f ca="1"/>
        <v>230.63</v>
      </c>
      <c r="CC8" vm="811">
        <f ca="1"/>
        <v>231.68</v>
      </c>
      <c r="CD8" vm="812">
        <f ca="1"/>
        <v>229.73</v>
      </c>
      <c r="CE8" vm="813">
        <f ca="1"/>
        <v>230.53</v>
      </c>
      <c r="CF8" vm="814">
        <f ca="1"/>
        <v>228.72</v>
      </c>
      <c r="CG8" vm="815">
        <f ca="1"/>
        <v>235.65</v>
      </c>
      <c r="CH8" vm="816">
        <f ca="1"/>
        <v>239.43</v>
      </c>
      <c r="CI8" vm="817">
        <f ca="1"/>
        <v>241.97</v>
      </c>
      <c r="CJ8" vm="818">
        <f ca="1"/>
        <v>242.07</v>
      </c>
      <c r="CK8" vm="819">
        <f ca="1"/>
        <v>248.71</v>
      </c>
      <c r="CL8" vm="820">
        <f ca="1"/>
        <v>256.85000000000002</v>
      </c>
      <c r="CM8" vm="821">
        <f ca="1"/>
        <v>261.08</v>
      </c>
      <c r="CN8" vm="822">
        <f ca="1"/>
        <v>259.93</v>
      </c>
      <c r="CO8" vm="823">
        <f ca="1"/>
        <v>246.93</v>
      </c>
      <c r="CP8" vm="824">
        <f ca="1"/>
        <v>244.28</v>
      </c>
      <c r="CQ8" vm="825">
        <f ca="1"/>
        <v>244.63</v>
      </c>
      <c r="CR8" vm="826">
        <f ca="1"/>
        <v>252.91</v>
      </c>
      <c r="CS8" vm="827">
        <f ca="1"/>
        <v>256.07</v>
      </c>
      <c r="CT8" vm="828">
        <f ca="1"/>
        <v>248.7</v>
      </c>
      <c r="CU8" vm="829">
        <f ca="1"/>
        <v>252.1</v>
      </c>
      <c r="CV8" vm="830">
        <f ca="1"/>
        <v>249.37</v>
      </c>
      <c r="CW8" vm="831">
        <f ca="1"/>
        <v>251.26</v>
      </c>
      <c r="CX8" vm="832">
        <f ca="1"/>
        <v>249.99</v>
      </c>
      <c r="CY8" vm="833">
        <f ca="1"/>
        <v>253.77</v>
      </c>
      <c r="CZ8" vm="834">
        <f ca="1"/>
        <v>263.77</v>
      </c>
      <c r="DA8" vm="835">
        <f ca="1"/>
        <v>264.64999999999998</v>
      </c>
      <c r="DB8" vm="836">
        <f ca="1"/>
        <v>270.17</v>
      </c>
      <c r="DC8" vm="837">
        <f ca="1"/>
        <v>269.35000000000002</v>
      </c>
      <c r="DD8" vm="838">
        <f ca="1"/>
        <v>275.64999999999998</v>
      </c>
      <c r="DE8" vm="839">
        <f ca="1"/>
        <v>264.74</v>
      </c>
      <c r="DF8" vm="840">
        <f ca="1"/>
        <v>269.89999999999998</v>
      </c>
      <c r="DG8" vm="841">
        <f ca="1"/>
        <v>275.18</v>
      </c>
      <c r="DH8" vm="842">
        <f ca="1"/>
        <v>274.18</v>
      </c>
      <c r="DI8" vm="843">
        <f ca="1"/>
        <v>271.8</v>
      </c>
      <c r="DJ8" vm="844">
        <f ca="1"/>
        <v>277.89999999999998</v>
      </c>
      <c r="DK8" vm="845">
        <f ca="1"/>
        <v>275.39999999999998</v>
      </c>
      <c r="DL8" vm="846">
        <f ca="1"/>
        <v>274.38</v>
      </c>
      <c r="DM8" vm="847">
        <f ca="1"/>
        <v>275.60000000000002</v>
      </c>
      <c r="DN8" vm="848">
        <f ca="1"/>
        <v>280.94</v>
      </c>
      <c r="DO8" vm="849">
        <f ca="1"/>
        <v>280.81</v>
      </c>
      <c r="DP8" vm="850">
        <f ca="1"/>
        <v>286.45</v>
      </c>
      <c r="DQ8" vm="851">
        <f ca="1"/>
        <v>283.33999999999997</v>
      </c>
      <c r="DR8" vm="852">
        <f ca="1"/>
        <v>288.20999999999998</v>
      </c>
      <c r="DS8" vm="853">
        <f ca="1"/>
        <v>278.58999999999997</v>
      </c>
      <c r="DT8" vm="854">
        <f ca="1"/>
        <v>283.69</v>
      </c>
      <c r="DU8" vm="855">
        <f ca="1"/>
        <v>288.70999999999998</v>
      </c>
      <c r="DV8" vm="856">
        <f ca="1"/>
        <v>290.18</v>
      </c>
      <c r="DW8" vm="857">
        <f ca="1"/>
        <v>294.3</v>
      </c>
      <c r="DX8" vm="858">
        <f ca="1"/>
        <v>297.42</v>
      </c>
      <c r="DY8" vm="859">
        <f ca="1"/>
        <v>302.62</v>
      </c>
      <c r="DZ8" vm="860">
        <f ca="1"/>
        <v>293.7</v>
      </c>
      <c r="EA8" vm="861">
        <f ca="1"/>
        <v>288.64</v>
      </c>
      <c r="EB8" vm="862">
        <f ca="1"/>
        <v>297.72000000000003</v>
      </c>
      <c r="EC8" vm="863">
        <f ca="1"/>
        <v>292.93</v>
      </c>
      <c r="ED8" vm="864">
        <f ca="1"/>
        <v>301.67</v>
      </c>
      <c r="EE8" vm="865">
        <f ca="1"/>
        <v>303.76</v>
      </c>
      <c r="EF8" vm="866">
        <f ca="1"/>
        <v>304.97000000000003</v>
      </c>
      <c r="EG8" vm="867">
        <f ca="1"/>
        <v>303.89999999999998</v>
      </c>
      <c r="EH8" vm="868">
        <f ca="1"/>
        <v>312.83</v>
      </c>
      <c r="EI8" vm="869">
        <f ca="1"/>
        <v>309.08999999999997</v>
      </c>
      <c r="EJ8" vm="870">
        <f ca="1"/>
        <v>311.23</v>
      </c>
      <c r="EK8" vm="871">
        <f ca="1"/>
        <v>306.33999999999997</v>
      </c>
      <c r="EL8" vm="872">
        <f ca="1"/>
        <v>305.76</v>
      </c>
      <c r="EM8" vm="873">
        <f ca="1"/>
        <v>294.91000000000003</v>
      </c>
      <c r="EN8" vm="874">
        <f ca="1"/>
        <v>291.17</v>
      </c>
      <c r="EO8" vm="875">
        <f ca="1"/>
        <v>289.60000000000002</v>
      </c>
      <c r="EP8" vm="876">
        <f ca="1"/>
        <v>294</v>
      </c>
      <c r="EQ8" vm="877">
        <f ca="1"/>
        <v>294.23</v>
      </c>
      <c r="ER8" vm="878">
        <f ca="1"/>
        <v>298.01</v>
      </c>
      <c r="ES8" vm="879">
        <f ca="1"/>
        <v>300.25</v>
      </c>
      <c r="ET8" vm="880">
        <f ca="1"/>
        <v>308.64999999999998</v>
      </c>
      <c r="EU8" vm="881">
        <f ca="1"/>
        <v>297.39</v>
      </c>
      <c r="EV8" vm="882">
        <f ca="1"/>
        <v>298.24</v>
      </c>
      <c r="EW8" vm="883">
        <f ca="1"/>
        <v>302.39</v>
      </c>
      <c r="EX8" vm="884">
        <f ca="1"/>
        <v>306.10000000000002</v>
      </c>
      <c r="EY8" vm="885">
        <f ca="1"/>
        <v>334.89</v>
      </c>
      <c r="EZ8" vm="886">
        <f ca="1"/>
        <v>345.65</v>
      </c>
      <c r="FA8" vm="887">
        <f ca="1"/>
        <v>336.67</v>
      </c>
      <c r="FB8" vm="888">
        <f ca="1"/>
        <v>369.57</v>
      </c>
      <c r="FC8" vm="889">
        <f ca="1"/>
        <v>359.63</v>
      </c>
      <c r="FD8" vm="890">
        <f ca="1"/>
        <v>359.87</v>
      </c>
      <c r="FE8" vm="891">
        <f ca="1"/>
        <v>364.09</v>
      </c>
      <c r="FF8" vm="892">
        <f ca="1"/>
        <v>360</v>
      </c>
      <c r="FG8" vm="893">
        <f ca="1"/>
        <v>346.17</v>
      </c>
      <c r="FH8" vm="894">
        <f ca="1"/>
        <v>345.35</v>
      </c>
      <c r="FI8" vm="895">
        <f ca="1"/>
        <v>344.94</v>
      </c>
      <c r="FJ8" vm="896">
        <f ca="1"/>
        <v>338.79</v>
      </c>
      <c r="FK8" vm="897">
        <f ca="1"/>
        <v>338.94</v>
      </c>
      <c r="FL8" vm="898">
        <f ca="1"/>
        <v>339.31</v>
      </c>
      <c r="FM8" vm="899">
        <f ca="1"/>
        <v>336.1</v>
      </c>
      <c r="FN8" vm="900">
        <f ca="1"/>
        <v>334.53</v>
      </c>
      <c r="FO8" vm="901">
        <f ca="1"/>
        <v>327.9</v>
      </c>
      <c r="FP8" vm="902">
        <f ca="1"/>
        <v>329.91</v>
      </c>
      <c r="FQ8" vm="903">
        <f ca="1"/>
        <v>333.39</v>
      </c>
      <c r="FR8" vm="904">
        <f ca="1"/>
        <v>338.18</v>
      </c>
      <c r="FS8" vm="905">
        <f ca="1"/>
        <v>338.37</v>
      </c>
      <c r="FT8" vm="906">
        <f ca="1"/>
        <v>335.49</v>
      </c>
      <c r="FU8" vm="907">
        <f ca="1"/>
        <v>336.41</v>
      </c>
      <c r="FV8" vm="908">
        <f ca="1"/>
        <v>345.5</v>
      </c>
      <c r="FW8" vm="909">
        <f ca="1"/>
        <v>345.02</v>
      </c>
      <c r="FX8" vm="910">
        <f ca="1"/>
        <v>324.63</v>
      </c>
      <c r="FY8" vm="911">
        <f ca="1"/>
        <v>356.7</v>
      </c>
      <c r="FZ8" vm="912">
        <f ca="1"/>
        <v>344.13</v>
      </c>
      <c r="GA8" vm="913">
        <f ca="1"/>
        <v>351.33</v>
      </c>
      <c r="GB8" vm="914">
        <f ca="1"/>
        <v>354.15</v>
      </c>
      <c r="GC8" vm="915">
        <f ca="1"/>
        <v>349.33</v>
      </c>
      <c r="GD8" vm="916">
        <f ca="1"/>
        <v>349.24</v>
      </c>
      <c r="GE8" vm="917">
        <f ca="1"/>
        <v>342.66</v>
      </c>
      <c r="GF8" vm="918">
        <f ca="1"/>
        <v>340.3</v>
      </c>
      <c r="GG8" vm="919">
        <f ca="1"/>
        <v>344.29</v>
      </c>
      <c r="GH8" vm="920">
        <f ca="1"/>
        <v>354.13</v>
      </c>
      <c r="GI8" vm="921">
        <f ca="1"/>
        <v>362.05</v>
      </c>
      <c r="GJ8" vm="922">
        <f ca="1"/>
        <v>372.97</v>
      </c>
      <c r="GK8" vm="923">
        <f ca="1"/>
        <v>385.98</v>
      </c>
      <c r="GL8" vm="924">
        <f ca="1"/>
        <v>376.47</v>
      </c>
      <c r="GM8" vm="925">
        <f ca="1"/>
        <v>369.63</v>
      </c>
      <c r="GN8" vm="926">
        <f ca="1"/>
        <v>362.55</v>
      </c>
      <c r="GO8" vm="927">
        <f ca="1"/>
        <v>351.94</v>
      </c>
      <c r="GP8" vm="928">
        <f ca="1"/>
        <v>358.98</v>
      </c>
      <c r="GQ8" vm="929">
        <f ca="1"/>
        <v>355.59</v>
      </c>
      <c r="GR8" vm="930">
        <f ca="1"/>
        <v>349.43</v>
      </c>
      <c r="GS8" vm="931">
        <f ca="1"/>
        <v>358.39</v>
      </c>
      <c r="GT8" vm="932">
        <f ca="1"/>
        <v>351.96</v>
      </c>
      <c r="GU8" vm="933">
        <f ca="1"/>
        <v>355.22</v>
      </c>
      <c r="GV8" vm="934">
        <f ca="1"/>
        <v>339.98</v>
      </c>
      <c r="GW8" vm="935">
        <f ca="1"/>
        <v>342.46</v>
      </c>
      <c r="GX8" vm="936">
        <f ca="1"/>
        <v>342.65</v>
      </c>
      <c r="GY8" vm="937">
        <f ca="1"/>
        <v>340.5</v>
      </c>
      <c r="GZ8" vm="938">
        <f ca="1"/>
        <v>354.42</v>
      </c>
      <c r="HA8" vm="939">
        <f ca="1"/>
        <v>346.82</v>
      </c>
      <c r="HB8" vm="940">
        <f ca="1"/>
        <v>340.2</v>
      </c>
      <c r="HC8" vm="941">
        <f ca="1"/>
        <v>377.96</v>
      </c>
      <c r="HD8" vm="942">
        <f ca="1"/>
        <v>385.03</v>
      </c>
      <c r="HE8" vm="943">
        <f ca="1"/>
        <v>397.57</v>
      </c>
      <c r="HF8" vm="944">
        <f ca="1"/>
        <v>402.96</v>
      </c>
      <c r="HG8" vm="945">
        <f ca="1"/>
        <v>386.08</v>
      </c>
      <c r="HH8" vm="946">
        <f ca="1"/>
        <v>381.57</v>
      </c>
      <c r="HI8" vm="947">
        <f ca="1"/>
        <v>380.61</v>
      </c>
      <c r="HJ8" vm="948">
        <f ca="1"/>
        <v>381.03</v>
      </c>
      <c r="HK8" vm="949">
        <f ca="1"/>
        <v>390.24</v>
      </c>
      <c r="HL8" vm="950">
        <f ca="1"/>
        <v>401.1</v>
      </c>
      <c r="HM8" vm="951">
        <f ca="1"/>
        <v>406.29</v>
      </c>
      <c r="HN8" vm="952">
        <f ca="1"/>
        <v>412.97</v>
      </c>
      <c r="HO8" vm="953">
        <f ca="1"/>
        <v>406.37</v>
      </c>
      <c r="HP8" vm="954">
        <f ca="1"/>
        <v>359.93</v>
      </c>
      <c r="HQ8" vm="955">
        <f ca="1"/>
        <v>339.81</v>
      </c>
      <c r="HR8" vm="956">
        <f ca="1"/>
        <v>341.3</v>
      </c>
      <c r="HS8" vm="957">
        <f ca="1"/>
        <v>326.02</v>
      </c>
      <c r="HT8" vm="958">
        <f ca="1"/>
        <v>329.88</v>
      </c>
      <c r="HU8" vm="959">
        <f ca="1"/>
        <v>340.36</v>
      </c>
      <c r="HV8" vm="960">
        <f ca="1"/>
        <v>341.45</v>
      </c>
      <c r="HW8" vm="961">
        <f ca="1"/>
        <v>349.32</v>
      </c>
      <c r="HX8" vm="962">
        <f ca="1"/>
        <v>350.22</v>
      </c>
      <c r="HY8" vm="963">
        <f ca="1"/>
        <v>352.13</v>
      </c>
      <c r="HZ8" vm="964">
        <f ca="1"/>
        <v>349.39</v>
      </c>
      <c r="IA8" vm="965">
        <f ca="1"/>
        <v>349.85</v>
      </c>
      <c r="IB8" vm="966">
        <f ca="1"/>
        <v>346.1</v>
      </c>
      <c r="IC8" vm="967">
        <f ca="1"/>
        <v>347.62</v>
      </c>
      <c r="ID8" vm="968">
        <f ca="1"/>
        <v>343.42</v>
      </c>
      <c r="IE8" vm="969">
        <f ca="1"/>
        <v>343.77</v>
      </c>
      <c r="IF8" vm="970">
        <f ca="1"/>
        <v>343.5</v>
      </c>
      <c r="IG8" vm="971">
        <f ca="1"/>
        <v>332.48</v>
      </c>
      <c r="IH8" vm="972">
        <f ca="1"/>
        <v>344.97</v>
      </c>
      <c r="II8" vm="973">
        <f ca="1"/>
        <v>352.21</v>
      </c>
      <c r="IJ8" vm="974">
        <f ca="1"/>
        <v>354.61</v>
      </c>
      <c r="IK8" vm="975">
        <f ca="1"/>
        <v>339.89</v>
      </c>
      <c r="IL8" vm="976">
        <f ca="1"/>
        <v>343.02</v>
      </c>
      <c r="IM8" vm="977">
        <f ca="1"/>
        <v>351.71</v>
      </c>
      <c r="IN8" vm="978">
        <f ca="1"/>
        <v>332.6</v>
      </c>
      <c r="IO8" vm="979">
        <f ca="1"/>
        <v>328.8</v>
      </c>
      <c r="IP8" vm="980">
        <f ca="1"/>
        <v>325.49</v>
      </c>
      <c r="IQ8" vm="981">
        <f ca="1"/>
        <v>320.05</v>
      </c>
      <c r="IR8" vm="982">
        <f ca="1"/>
        <v>324.85000000000002</v>
      </c>
      <c r="IS8" vm="983">
        <f ca="1"/>
        <v>332.79</v>
      </c>
      <c r="IT8" vm="984">
        <f ca="1"/>
        <v>333.24</v>
      </c>
      <c r="IU8" vm="985">
        <f ca="1"/>
        <v>330.73</v>
      </c>
      <c r="IV8" vm="986">
        <f ca="1"/>
        <v>331.3</v>
      </c>
      <c r="IW8" vm="987">
        <f ca="1"/>
        <v>331.11</v>
      </c>
      <c r="IX8" vm="988">
        <f ca="1"/>
        <v>320.33</v>
      </c>
      <c r="IY8" vm="989">
        <f ca="1"/>
        <v>308.05</v>
      </c>
      <c r="IZ8" vm="990">
        <f ca="1"/>
        <v>310.51</v>
      </c>
      <c r="JA8" vm="991">
        <f ca="1"/>
        <v>332.92</v>
      </c>
      <c r="JB8" vm="992">
        <f ca="1"/>
        <v>343.94</v>
      </c>
      <c r="JC8" vm="993">
        <f ca="1"/>
        <v>340.44</v>
      </c>
    </row>
    <row r="9" spans="1:265" ht="20" customHeight="1" x14ac:dyDescent="0.2">
      <c r="B9" t="e" vm="994">
        <v>#VALUE!</v>
      </c>
      <c r="C9" t="str">
        <f ca="1"/>
        <v>ETF</v>
      </c>
      <c r="D9" t="str">
        <f ca="1"/>
        <v>EUR</v>
      </c>
      <c r="E9">
        <v>2.2816000000000001</v>
      </c>
      <c r="F9">
        <f ca="1"/>
        <v>626.94000000000005</v>
      </c>
      <c r="G9">
        <f ca="1"/>
        <v>1430.4263040000001</v>
      </c>
      <c r="H9" s="10" cm="1">
        <f t="array" aca="1" ref="H9" ca="1">(F9-IF(C9="USD",_FV( B9,"Clôture précédente",TRUE)*$K$4,_FV( B9,"Clôture précédente",TRUE)))*E9</f>
        <v>-1.7340159999999794</v>
      </c>
      <c r="I9" s="7" cm="1">
        <f t="array" aca="1" ref="I9" ca="1">(F9-_FV(B9,"Clôture précédente",TRUE))/_FV(B9,"Clôture précédente",TRUE)</f>
        <v>-1.2107694758642519E-3</v>
      </c>
      <c r="J9" s="11">
        <f ca="1"/>
        <v>-3.3722539999998844</v>
      </c>
      <c r="K9" t="s">
        <v>19</v>
      </c>
      <c r="M9" cm="1" vm="995">
        <f t="array" aca="1" ref="M9:JE9" ca="1">TRANSPOSE(_xlfn.STOCKHISTORY(B9,TODAY()-365,TODAY(),0,0,1))</f>
        <v>622.5</v>
      </c>
      <c r="N9" vm="996">
        <f ca="1"/>
        <v>618.52</v>
      </c>
      <c r="O9" vm="997">
        <f ca="1"/>
        <v>620.08000000000004</v>
      </c>
      <c r="P9" vm="998">
        <f ca="1"/>
        <v>617.91999999999996</v>
      </c>
      <c r="Q9" vm="999">
        <f ca="1"/>
        <v>621.08000000000004</v>
      </c>
      <c r="R9" vm="1000">
        <f ca="1"/>
        <v>621.84</v>
      </c>
      <c r="S9" vm="1001">
        <f ca="1"/>
        <v>626.14</v>
      </c>
      <c r="T9" vm="1002">
        <f ca="1"/>
        <v>617.54</v>
      </c>
      <c r="U9" vm="1003">
        <f ca="1"/>
        <v>613.28</v>
      </c>
      <c r="V9" vm="1004">
        <f ca="1"/>
        <v>610.41999999999996</v>
      </c>
      <c r="W9" vm="1005">
        <f ca="1"/>
        <v>602.36</v>
      </c>
      <c r="X9" vm="1006">
        <f ca="1"/>
        <v>602.28</v>
      </c>
      <c r="Y9" vm="1007">
        <f ca="1"/>
        <v>600</v>
      </c>
      <c r="Z9" vm="1008">
        <f ca="1"/>
        <v>600.02</v>
      </c>
      <c r="AA9" vm="1009">
        <f ca="1"/>
        <v>591.82000000000005</v>
      </c>
      <c r="AB9" vm="1010">
        <f ca="1"/>
        <v>583.41999999999996</v>
      </c>
      <c r="AC9" vm="1011">
        <f ca="1"/>
        <v>575.96</v>
      </c>
      <c r="AD9" vm="1012">
        <f ca="1"/>
        <v>564.58000000000004</v>
      </c>
      <c r="AE9" vm="1013">
        <f ca="1"/>
        <v>565.24</v>
      </c>
      <c r="AF9" vm="1014">
        <f ca="1"/>
        <v>551.34</v>
      </c>
      <c r="AG9" vm="1015">
        <f ca="1"/>
        <v>544.20000000000005</v>
      </c>
      <c r="AH9" vm="1016">
        <f ca="1"/>
        <v>545.72</v>
      </c>
      <c r="AI9" vm="1017">
        <f ca="1"/>
        <v>540.58000000000004</v>
      </c>
      <c r="AJ9" vm="1018">
        <f ca="1"/>
        <v>550.02</v>
      </c>
      <c r="AK9" vm="1019">
        <f ca="1"/>
        <v>552.62</v>
      </c>
      <c r="AL9" vm="1020">
        <f ca="1"/>
        <v>546.08000000000004</v>
      </c>
      <c r="AM9" vm="1021">
        <f ca="1"/>
        <v>553.94000000000005</v>
      </c>
      <c r="AN9" vm="1022">
        <f ca="1"/>
        <v>553.88</v>
      </c>
      <c r="AO9" vm="1023">
        <f ca="1"/>
        <v>554.94000000000005</v>
      </c>
      <c r="AP9" vm="1024">
        <f ca="1"/>
        <v>566.17999999999995</v>
      </c>
      <c r="AQ9" vm="1025">
        <f ca="1"/>
        <v>569.62</v>
      </c>
      <c r="AR9" vm="1026">
        <f ca="1"/>
        <v>564.34</v>
      </c>
      <c r="AS9" vm="1027">
        <f ca="1"/>
        <v>562.1</v>
      </c>
      <c r="AT9" vm="1028">
        <f ca="1"/>
        <v>548</v>
      </c>
      <c r="AU9" vm="1029">
        <f ca="1"/>
        <v>549.91999999999996</v>
      </c>
      <c r="AV9" vm="1030">
        <f ca="1"/>
        <v>552.96</v>
      </c>
      <c r="AW9" vm="1031">
        <f ca="1"/>
        <v>552.55999999999995</v>
      </c>
      <c r="AX9" vm="1032">
        <f ca="1"/>
        <v>521.46</v>
      </c>
      <c r="AY9" vm="1033">
        <f ca="1"/>
        <v>498.32</v>
      </c>
      <c r="AZ9" vm="1034">
        <f ca="1"/>
        <v>495.52</v>
      </c>
      <c r="BA9" vm="1035">
        <f ca="1"/>
        <v>483.06</v>
      </c>
      <c r="BB9" vm="1036">
        <f ca="1"/>
        <v>532.32000000000005</v>
      </c>
      <c r="BC9" vm="1037">
        <f ca="1"/>
        <v>500.3</v>
      </c>
      <c r="BD9" vm="1038">
        <f ca="1"/>
        <v>502.84</v>
      </c>
      <c r="BE9" vm="1039">
        <f ca="1"/>
        <v>507.88</v>
      </c>
      <c r="BF9" vm="1040">
        <f ca="1"/>
        <v>509.84</v>
      </c>
      <c r="BG9" vm="1041">
        <f ca="1"/>
        <v>497.58</v>
      </c>
      <c r="BH9" vm="1042">
        <f ca="1"/>
        <v>498.87</v>
      </c>
      <c r="BI9" vm="1043">
        <f ca="1"/>
        <v>487.83</v>
      </c>
      <c r="BJ9" vm="1044">
        <f ca="1"/>
        <v>503.66</v>
      </c>
      <c r="BK9" vm="1045">
        <f ca="1"/>
        <v>511.94</v>
      </c>
      <c r="BL9" vm="1046">
        <f ca="1"/>
        <v>516.82000000000005</v>
      </c>
      <c r="BM9" vm="1047">
        <f ca="1"/>
        <v>515.88</v>
      </c>
      <c r="BN9" vm="1048">
        <f ca="1"/>
        <v>517.55999999999995</v>
      </c>
      <c r="BO9" vm="1049">
        <f ca="1"/>
        <v>518.05999999999995</v>
      </c>
      <c r="BP9" vm="1050">
        <f ca="1"/>
        <v>534.26</v>
      </c>
      <c r="BQ9" vm="1051">
        <f ca="1"/>
        <v>534.46</v>
      </c>
      <c r="BR9" vm="1052">
        <f ca="1"/>
        <v>524.34</v>
      </c>
      <c r="BS9" vm="1053">
        <f ca="1"/>
        <v>527.79999999999995</v>
      </c>
      <c r="BT9" vm="1054">
        <f ca="1"/>
        <v>541.24</v>
      </c>
      <c r="BU9" vm="1055">
        <f ca="1"/>
        <v>534.58000000000004</v>
      </c>
      <c r="BV9" vm="1056">
        <f ca="1"/>
        <v>560.29999999999995</v>
      </c>
      <c r="BW9" vm="1057">
        <f ca="1"/>
        <v>561.55999999999995</v>
      </c>
      <c r="BX9" vm="1058">
        <f ca="1"/>
        <v>560.76</v>
      </c>
      <c r="BY9" vm="1059">
        <f ca="1"/>
        <v>563.94000000000005</v>
      </c>
      <c r="BZ9" vm="1060">
        <f ca="1"/>
        <v>568.08000000000004</v>
      </c>
      <c r="CA9" vm="1061">
        <f ca="1"/>
        <v>565.54</v>
      </c>
      <c r="CB9" vm="1062">
        <f ca="1"/>
        <v>562.22</v>
      </c>
      <c r="CC9" vm="1063">
        <f ca="1"/>
        <v>548.66</v>
      </c>
      <c r="CD9" vm="1064">
        <f ca="1"/>
        <v>554</v>
      </c>
      <c r="CE9" vm="1065">
        <f ca="1"/>
        <v>544.98</v>
      </c>
      <c r="CF9" vm="1066">
        <f ca="1"/>
        <v>549.94000000000005</v>
      </c>
      <c r="CG9" vm="1067">
        <f ca="1"/>
        <v>555.54</v>
      </c>
      <c r="CH9" vm="1068">
        <f ca="1"/>
        <v>557.46</v>
      </c>
      <c r="CI9" vm="1069">
        <f ca="1"/>
        <v>553.54</v>
      </c>
      <c r="CJ9" vm="1070">
        <f ca="1"/>
        <v>550.38</v>
      </c>
      <c r="CK9" vm="1071">
        <f ca="1"/>
        <v>552.29999999999995</v>
      </c>
      <c r="CL9" vm="1072">
        <f ca="1"/>
        <v>559.72</v>
      </c>
      <c r="CM9" vm="1073">
        <f ca="1"/>
        <v>557.52</v>
      </c>
      <c r="CN9" vm="1074">
        <f ca="1"/>
        <v>556.17999999999995</v>
      </c>
      <c r="CO9" vm="1075">
        <f ca="1"/>
        <v>560.64</v>
      </c>
      <c r="CP9" vm="1076">
        <f ca="1"/>
        <v>561.05999999999995</v>
      </c>
      <c r="CQ9" vm="1077">
        <f ca="1"/>
        <v>562.58000000000004</v>
      </c>
      <c r="CR9" vm="1078">
        <f ca="1"/>
        <v>559.34</v>
      </c>
      <c r="CS9" vm="1079">
        <f ca="1"/>
        <v>556.22</v>
      </c>
      <c r="CT9" vm="1080">
        <f ca="1"/>
        <v>554.05999999999995</v>
      </c>
      <c r="CU9" vm="1081">
        <f ca="1"/>
        <v>555.94000000000005</v>
      </c>
      <c r="CV9" vm="1082">
        <f ca="1"/>
        <v>555.96</v>
      </c>
      <c r="CW9" vm="1083">
        <f ca="1"/>
        <v>555.48</v>
      </c>
      <c r="CX9" vm="1084">
        <f ca="1"/>
        <v>551.76</v>
      </c>
      <c r="CY9" vm="1085">
        <f ca="1"/>
        <v>551.64</v>
      </c>
      <c r="CZ9" vm="1086">
        <f ca="1"/>
        <v>554.41999999999996</v>
      </c>
      <c r="DA9" vm="1087">
        <f ca="1"/>
        <v>559.91999999999996</v>
      </c>
      <c r="DB9" vm="1088">
        <f ca="1"/>
        <v>558.12</v>
      </c>
      <c r="DC9" vm="1089">
        <f ca="1"/>
        <v>557.84</v>
      </c>
      <c r="DD9" vm="1090">
        <f ca="1"/>
        <v>562.17999999999995</v>
      </c>
      <c r="DE9" vm="1091">
        <f ca="1"/>
        <v>560.24</v>
      </c>
      <c r="DF9" vm="1092">
        <f ca="1"/>
        <v>561.67999999999995</v>
      </c>
      <c r="DG9" vm="1093">
        <f ca="1"/>
        <v>562.02</v>
      </c>
      <c r="DH9" vm="1094">
        <f ca="1"/>
        <v>568.79999999999995</v>
      </c>
      <c r="DI9" vm="1095">
        <f ca="1"/>
        <v>564.79999999999995</v>
      </c>
      <c r="DJ9" vm="1096">
        <f ca="1"/>
        <v>566.86</v>
      </c>
      <c r="DK9" vm="1097">
        <f ca="1"/>
        <v>566.62</v>
      </c>
      <c r="DL9" vm="1098">
        <f ca="1"/>
        <v>569.17999999999995</v>
      </c>
      <c r="DM9" vm="1099">
        <f ca="1"/>
        <v>573.48</v>
      </c>
      <c r="DN9" vm="1100">
        <f ca="1"/>
        <v>571.6</v>
      </c>
      <c r="DO9" vm="1101">
        <f ca="1"/>
        <v>572.96</v>
      </c>
      <c r="DP9" vm="1102">
        <f ca="1"/>
        <v>575</v>
      </c>
      <c r="DQ9" vm="1103">
        <f ca="1"/>
        <v>572.28</v>
      </c>
      <c r="DR9" vm="1104">
        <f ca="1"/>
        <v>579.14</v>
      </c>
      <c r="DS9" vm="1105">
        <f ca="1"/>
        <v>577.54</v>
      </c>
      <c r="DT9" vm="1106">
        <f ca="1"/>
        <v>578.05999999999995</v>
      </c>
      <c r="DU9" vm="1107">
        <f ca="1"/>
        <v>573</v>
      </c>
      <c r="DV9" vm="1108">
        <f ca="1"/>
        <v>575.79999999999995</v>
      </c>
      <c r="DW9" vm="1109">
        <f ca="1"/>
        <v>577.88</v>
      </c>
      <c r="DX9" vm="1110">
        <f ca="1"/>
        <v>581.14</v>
      </c>
      <c r="DY9" vm="1111">
        <f ca="1"/>
        <v>587.34</v>
      </c>
      <c r="DZ9" vm="1112">
        <f ca="1"/>
        <v>589.12</v>
      </c>
      <c r="EA9" vm="1113">
        <f ca="1"/>
        <v>593.08000000000004</v>
      </c>
      <c r="EB9" vm="1114">
        <f ca="1"/>
        <v>594.58000000000004</v>
      </c>
      <c r="EC9" vm="1115">
        <f ca="1"/>
        <v>576.64</v>
      </c>
      <c r="ED9" vm="1116">
        <f ca="1"/>
        <v>583.22</v>
      </c>
      <c r="EE9" vm="1117">
        <f ca="1"/>
        <v>581.34</v>
      </c>
      <c r="EF9" vm="1118">
        <f ca="1"/>
        <v>580.96</v>
      </c>
      <c r="EG9" vm="1119">
        <f ca="1"/>
        <v>579.66</v>
      </c>
      <c r="EH9" vm="1120">
        <f ca="1"/>
        <v>585.08000000000004</v>
      </c>
      <c r="EI9" vm="1121">
        <f ca="1"/>
        <v>585.29999999999995</v>
      </c>
      <c r="EJ9" vm="1122">
        <f ca="1"/>
        <v>588.98</v>
      </c>
      <c r="EK9" vm="1123">
        <f ca="1"/>
        <v>588.86</v>
      </c>
      <c r="EL9" vm="1113">
        <f ca="1"/>
        <v>593.08000000000004</v>
      </c>
      <c r="EM9" vm="1124">
        <f ca="1"/>
        <v>589.08000000000004</v>
      </c>
      <c r="EN9" vm="1125">
        <f ca="1"/>
        <v>589.58000000000004</v>
      </c>
      <c r="EO9" vm="1126">
        <f ca="1"/>
        <v>587.6</v>
      </c>
      <c r="EP9" vm="1127">
        <f ca="1"/>
        <v>585.96</v>
      </c>
      <c r="EQ9" vm="1128">
        <f ca="1"/>
        <v>584.32000000000005</v>
      </c>
      <c r="ER9" vm="1129">
        <f ca="1"/>
        <v>588.74</v>
      </c>
      <c r="ES9" vm="1130">
        <f ca="1"/>
        <v>593.05999999999995</v>
      </c>
      <c r="ET9" vm="1131">
        <f ca="1"/>
        <v>591.28</v>
      </c>
      <c r="EU9" vm="1132">
        <f ca="1"/>
        <v>594.38</v>
      </c>
      <c r="EV9" vm="1133">
        <f ca="1"/>
        <v>594.52</v>
      </c>
      <c r="EW9" vm="1134">
        <f ca="1"/>
        <v>588.9</v>
      </c>
      <c r="EX9" vm="1135">
        <f ca="1"/>
        <v>590.36</v>
      </c>
      <c r="EY9" vm="1136">
        <f ca="1"/>
        <v>586.34</v>
      </c>
      <c r="EZ9" vm="1137">
        <f ca="1"/>
        <v>588.5</v>
      </c>
      <c r="FA9" vm="1138">
        <f ca="1"/>
        <v>594.74</v>
      </c>
      <c r="FB9" vm="1134">
        <f ca="1"/>
        <v>588.9</v>
      </c>
      <c r="FC9" vm="1139">
        <f ca="1"/>
        <v>589.84</v>
      </c>
      <c r="FD9" vm="1140">
        <f ca="1"/>
        <v>592.86</v>
      </c>
      <c r="FE9" vm="1141">
        <f ca="1"/>
        <v>596.16</v>
      </c>
      <c r="FF9" vm="1142">
        <f ca="1"/>
        <v>599.34</v>
      </c>
      <c r="FG9" vm="1143">
        <f ca="1"/>
        <v>599.94000000000005</v>
      </c>
      <c r="FH9" vm="1144">
        <f ca="1"/>
        <v>599.86</v>
      </c>
      <c r="FI9" vm="1145">
        <f ca="1"/>
        <v>594.84</v>
      </c>
      <c r="FJ9" vm="1146">
        <f ca="1"/>
        <v>594.54</v>
      </c>
      <c r="FK9" vm="1147">
        <f ca="1"/>
        <v>601.44000000000005</v>
      </c>
      <c r="FL9" vm="1148">
        <f ca="1"/>
        <v>604.9</v>
      </c>
      <c r="FM9" vm="1149">
        <f ca="1"/>
        <v>606.38</v>
      </c>
      <c r="FN9" vm="1150">
        <f ca="1"/>
        <v>602.78</v>
      </c>
      <c r="FO9" vm="1151">
        <f ca="1"/>
        <v>604.38</v>
      </c>
      <c r="FP9" vm="1152">
        <f ca="1"/>
        <v>604.67999999999995</v>
      </c>
      <c r="FQ9" vm="1153">
        <f ca="1"/>
        <v>606.48</v>
      </c>
      <c r="FR9" vm="1154">
        <f ca="1"/>
        <v>606.6</v>
      </c>
      <c r="FS9" vm="1155">
        <f ca="1"/>
        <v>604.04</v>
      </c>
      <c r="FT9" vm="1156">
        <f ca="1"/>
        <v>611.02</v>
      </c>
      <c r="FU9" vm="1157">
        <f ca="1"/>
        <v>611.98</v>
      </c>
      <c r="FV9" vm="1158">
        <f ca="1"/>
        <v>611.86</v>
      </c>
      <c r="FW9" vm="1159">
        <f ca="1"/>
        <v>615.70000000000005</v>
      </c>
      <c r="FX9" vm="1160">
        <f ca="1"/>
        <v>615.66</v>
      </c>
      <c r="FY9" vm="1161">
        <f ca="1"/>
        <v>621.94000000000005</v>
      </c>
      <c r="FZ9" vm="1161">
        <f ca="1"/>
        <v>621.94000000000005</v>
      </c>
      <c r="GA9" vm="1162">
        <f ca="1"/>
        <v>605</v>
      </c>
      <c r="GB9" vm="1163">
        <f ca="1"/>
        <v>614.62</v>
      </c>
      <c r="GC9" vm="1164">
        <f ca="1"/>
        <v>614.58000000000004</v>
      </c>
      <c r="GD9" vm="1165">
        <f ca="1"/>
        <v>609.74</v>
      </c>
      <c r="GE9" vm="1166">
        <f ca="1"/>
        <v>605.70000000000005</v>
      </c>
      <c r="GF9" vm="1167">
        <f ca="1"/>
        <v>608.16</v>
      </c>
      <c r="GG9" vm="1168">
        <f ca="1"/>
        <v>619.02</v>
      </c>
      <c r="GH9" vm="1169">
        <f ca="1"/>
        <v>621.5</v>
      </c>
      <c r="GI9" vm="1170">
        <f ca="1"/>
        <v>617.26</v>
      </c>
      <c r="GJ9" vm="1171">
        <f ca="1"/>
        <v>620.6</v>
      </c>
      <c r="GK9" vm="1172">
        <f ca="1"/>
        <v>625.74</v>
      </c>
      <c r="GL9" vm="1173">
        <f ca="1"/>
        <v>630.48</v>
      </c>
      <c r="GM9" vm="1174">
        <f ca="1"/>
        <v>632.67999999999995</v>
      </c>
      <c r="GN9" vm="1175">
        <f ca="1"/>
        <v>634.22</v>
      </c>
      <c r="GO9" vm="1176">
        <f ca="1"/>
        <v>633.05999999999995</v>
      </c>
      <c r="GP9" vm="1177">
        <f ca="1"/>
        <v>634.88</v>
      </c>
      <c r="GQ9" vm="1178">
        <f ca="1"/>
        <v>636.1</v>
      </c>
      <c r="GR9" vm="1179">
        <f ca="1"/>
        <v>631.82000000000005</v>
      </c>
      <c r="GS9" vm="1180">
        <f ca="1"/>
        <v>635.22</v>
      </c>
      <c r="GT9" vm="1181">
        <f ca="1"/>
        <v>625.28</v>
      </c>
      <c r="GU9" vm="1182">
        <f ca="1"/>
        <v>621.16</v>
      </c>
      <c r="GV9" vm="1183">
        <f ca="1"/>
        <v>631.1</v>
      </c>
      <c r="GW9" vm="1184">
        <f ca="1"/>
        <v>631.67999999999995</v>
      </c>
      <c r="GX9" vm="1185">
        <f ca="1"/>
        <v>632.78</v>
      </c>
      <c r="GY9" vm="1186">
        <f ca="1"/>
        <v>619.74</v>
      </c>
      <c r="GZ9" vm="1187">
        <f ca="1"/>
        <v>620.54</v>
      </c>
      <c r="HA9" vm="1188">
        <f ca="1"/>
        <v>614.4</v>
      </c>
      <c r="HB9" vm="1189">
        <f ca="1"/>
        <v>612.58000000000004</v>
      </c>
      <c r="HC9" vm="1190">
        <f ca="1"/>
        <v>614.88</v>
      </c>
      <c r="HD9" vm="1003">
        <f ca="1"/>
        <v>613.28</v>
      </c>
      <c r="HE9" vm="1191">
        <f ca="1"/>
        <v>616.28</v>
      </c>
      <c r="HF9" vm="1192">
        <f ca="1"/>
        <v>622.64</v>
      </c>
      <c r="HG9" vm="1193">
        <f ca="1"/>
        <v>623.94000000000005</v>
      </c>
      <c r="HH9" vm="1194">
        <f ca="1"/>
        <v>629.79999999999995</v>
      </c>
      <c r="HI9" vm="1195">
        <f ca="1"/>
        <v>629.04</v>
      </c>
      <c r="HJ9" vm="1196">
        <f ca="1"/>
        <v>631.08000000000004</v>
      </c>
      <c r="HK9" vm="1197">
        <f ca="1"/>
        <v>629.52</v>
      </c>
      <c r="HL9" vm="1198">
        <f ca="1"/>
        <v>628.72</v>
      </c>
      <c r="HM9" vm="1199">
        <f ca="1"/>
        <v>628.94000000000005</v>
      </c>
      <c r="HN9" vm="1200">
        <f ca="1"/>
        <v>629.78</v>
      </c>
      <c r="HO9" vm="1201">
        <f ca="1"/>
        <v>632.34</v>
      </c>
      <c r="HP9" vm="1202">
        <f ca="1"/>
        <v>628.24</v>
      </c>
      <c r="HQ9" vm="1203">
        <f ca="1"/>
        <v>630.70000000000005</v>
      </c>
      <c r="HR9" vm="1204">
        <f ca="1"/>
        <v>631.79999999999995</v>
      </c>
      <c r="HS9" vm="1205">
        <f ca="1"/>
        <v>627.78</v>
      </c>
      <c r="HT9" vm="1206">
        <f ca="1"/>
        <v>622.36</v>
      </c>
      <c r="HU9" vm="1207">
        <f ca="1"/>
        <v>621.26</v>
      </c>
      <c r="HV9" vm="1208">
        <f ca="1"/>
        <v>618.14</v>
      </c>
      <c r="HW9" vm="1209">
        <f ca="1"/>
        <v>614.5</v>
      </c>
      <c r="HX9" vm="1210">
        <f ca="1"/>
        <v>618.98</v>
      </c>
      <c r="HY9" vm="1211">
        <f ca="1"/>
        <v>624.02</v>
      </c>
      <c r="HZ9" vm="1212">
        <f ca="1"/>
        <v>626.6</v>
      </c>
      <c r="IA9" vm="1213">
        <f ca="1"/>
        <v>628.02</v>
      </c>
      <c r="IB9" vm="1214">
        <f ca="1"/>
        <v>629</v>
      </c>
      <c r="IC9" vm="1215">
        <f ca="1"/>
        <v>629.08000000000004</v>
      </c>
      <c r="ID9" vm="1216">
        <f ca="1"/>
        <v>629.24</v>
      </c>
      <c r="IE9" vm="1217">
        <f ca="1"/>
        <v>631.5</v>
      </c>
      <c r="IF9" vm="1218">
        <f ca="1"/>
        <v>636.76</v>
      </c>
      <c r="IG9" vm="1219">
        <f ca="1"/>
        <v>636.82000000000005</v>
      </c>
      <c r="IH9" vm="1220">
        <f ca="1"/>
        <v>636.6</v>
      </c>
      <c r="II9" vm="1221">
        <f ca="1"/>
        <v>641.48</v>
      </c>
      <c r="IJ9" vm="1222">
        <f ca="1"/>
        <v>640.38</v>
      </c>
      <c r="IK9" vm="1223">
        <f ca="1"/>
        <v>639.58000000000004</v>
      </c>
      <c r="IL9" vm="1224">
        <f ca="1"/>
        <v>634.17999999999995</v>
      </c>
      <c r="IM9" vm="1225">
        <f ca="1"/>
        <v>642.20000000000005</v>
      </c>
      <c r="IN9" vm="1226">
        <f ca="1"/>
        <v>642.64</v>
      </c>
      <c r="IO9" vm="1227">
        <f ca="1"/>
        <v>632.88</v>
      </c>
      <c r="IP9" vm="1228">
        <f ca="1"/>
        <v>622.58000000000004</v>
      </c>
      <c r="IQ9" vm="1229">
        <f ca="1"/>
        <v>632.28</v>
      </c>
      <c r="IR9" vm="1230">
        <f ca="1"/>
        <v>632.41999999999996</v>
      </c>
      <c r="IS9" vm="1231">
        <f ca="1"/>
        <v>628.28</v>
      </c>
      <c r="IT9" vm="1232">
        <f ca="1"/>
        <v>627.9</v>
      </c>
      <c r="IU9" vm="1233">
        <f ca="1"/>
        <v>624.55999999999995</v>
      </c>
      <c r="IV9" vm="1212">
        <f ca="1"/>
        <v>626.6</v>
      </c>
      <c r="IW9" vm="1228">
        <f ca="1"/>
        <v>622.58000000000004</v>
      </c>
      <c r="IX9" vm="1234">
        <f ca="1"/>
        <v>625.08000000000004</v>
      </c>
      <c r="IY9" vm="1235">
        <f ca="1"/>
        <v>634.66</v>
      </c>
      <c r="IZ9" vm="1236">
        <f ca="1"/>
        <v>624.58000000000004</v>
      </c>
      <c r="JA9" vm="1237">
        <f ca="1"/>
        <v>626.9</v>
      </c>
      <c r="JB9" vm="1238">
        <f ca="1"/>
        <v>618.12</v>
      </c>
      <c r="JC9" vm="1239">
        <f ca="1"/>
        <v>627.04</v>
      </c>
      <c r="JD9" vm="1240">
        <f ca="1"/>
        <v>627.70000000000005</v>
      </c>
      <c r="JE9" vm="1241">
        <f ca="1"/>
        <v>626.94000000000005</v>
      </c>
    </row>
    <row r="10" spans="1:265" ht="20" customHeight="1" x14ac:dyDescent="0.2">
      <c r="B10" t="e" vm="1242">
        <v>#VALUE!</v>
      </c>
      <c r="C10" t="str">
        <f ca="1"/>
        <v>Banking Services</v>
      </c>
      <c r="D10" t="str">
        <f ca="1"/>
        <v>USD</v>
      </c>
      <c r="E10">
        <v>1</v>
      </c>
      <c r="F10">
        <f ca="1"/>
        <v>318.27999999999997</v>
      </c>
      <c r="G10">
        <f ca="1"/>
        <v>318.27999999999997</v>
      </c>
      <c r="H10" s="10" cm="1">
        <f t="array" aca="1" ref="H10" ca="1">(F10-IF(C10="USD",_FV( B10,"Clôture précédente",TRUE)*$K$4,_FV( B10,"Clôture précédente",TRUE)))*E10</f>
        <v>-3.82000000000005</v>
      </c>
      <c r="I10" s="7" cm="1">
        <f t="array" aca="1" ref="I10" ca="1">(F10-_FV(B10,"Clôture précédente",TRUE))/_FV(B10,"Clôture précédente",TRUE)</f>
        <v>-1.1859670909655541E-2</v>
      </c>
      <c r="J10" s="11">
        <f ca="1"/>
        <v>-2.2000000000000455</v>
      </c>
      <c r="K10" t="s">
        <v>19</v>
      </c>
      <c r="M10" cm="1" vm="1243">
        <f t="array" aca="1" ref="M10:JC10" ca="1">TRANSPOSE(_xlfn.STOCKHISTORY(B10,TODAY()-365,TODAY(),0,0,1))</f>
        <v>274.99</v>
      </c>
      <c r="N10" vm="1244">
        <f ca="1"/>
        <v>275.45</v>
      </c>
      <c r="O10" vm="1245">
        <f ca="1"/>
        <v>276.32</v>
      </c>
      <c r="P10" vm="1246">
        <f ca="1"/>
        <v>276.58999999999997</v>
      </c>
      <c r="Q10" vm="1247">
        <f ca="1"/>
        <v>279.95</v>
      </c>
      <c r="R10" vm="1248">
        <f ca="1"/>
        <v>279.25</v>
      </c>
      <c r="S10" vm="1249">
        <f ca="1"/>
        <v>266.8</v>
      </c>
      <c r="T10" vm="1250">
        <f ca="1"/>
        <v>264.24</v>
      </c>
      <c r="U10" vm="1251">
        <f ca="1"/>
        <v>261.33999999999997</v>
      </c>
      <c r="V10" vm="1252">
        <f ca="1"/>
        <v>257.39999999999998</v>
      </c>
      <c r="W10" vm="1253">
        <f ca="1"/>
        <v>258.79000000000002</v>
      </c>
      <c r="X10" vm="1254">
        <f ca="1"/>
        <v>259.05</v>
      </c>
      <c r="Y10" vm="835">
        <f ca="1"/>
        <v>264.64999999999998</v>
      </c>
      <c r="Z10" vm="1255">
        <f ca="1"/>
        <v>260.62</v>
      </c>
      <c r="AA10" vm="1256">
        <f ca="1"/>
        <v>250.25</v>
      </c>
      <c r="AB10" vm="1257">
        <f ca="1"/>
        <v>251.53</v>
      </c>
      <c r="AC10" vm="1258">
        <f ca="1"/>
        <v>246.54</v>
      </c>
      <c r="AD10" vm="1259">
        <f ca="1"/>
        <v>242.28</v>
      </c>
      <c r="AE10" vm="1260">
        <f ca="1"/>
        <v>232.22</v>
      </c>
      <c r="AF10" vm="1261">
        <f ca="1"/>
        <v>229.14</v>
      </c>
      <c r="AG10" vm="1262">
        <f ca="1"/>
        <v>227.9</v>
      </c>
      <c r="AH10" vm="1263">
        <f ca="1"/>
        <v>225.19</v>
      </c>
      <c r="AI10" vm="1264">
        <f ca="1"/>
        <v>232.44</v>
      </c>
      <c r="AJ10" vm="1265">
        <f ca="1"/>
        <v>233.93</v>
      </c>
      <c r="AK10" vm="1266">
        <f ca="1"/>
        <v>234.97</v>
      </c>
      <c r="AL10" vm="1267">
        <f ca="1"/>
        <v>239.11</v>
      </c>
      <c r="AM10" vm="1268">
        <f ca="1"/>
        <v>239.01</v>
      </c>
      <c r="AN10" vm="1269">
        <f ca="1"/>
        <v>241.63</v>
      </c>
      <c r="AO10" vm="1270">
        <f ca="1"/>
        <v>248.06</v>
      </c>
      <c r="AP10" vm="1271">
        <f ca="1"/>
        <v>251.13</v>
      </c>
      <c r="AQ10" vm="1272">
        <f ca="1"/>
        <v>251.03</v>
      </c>
      <c r="AR10" vm="1273">
        <f ca="1"/>
        <v>248.12</v>
      </c>
      <c r="AS10" vm="1274">
        <f ca="1"/>
        <v>242.85</v>
      </c>
      <c r="AT10" vm="1275">
        <f ca="1"/>
        <v>245.3</v>
      </c>
      <c r="AU10" vm="1276">
        <f ca="1"/>
        <v>243.66</v>
      </c>
      <c r="AV10" vm="1277">
        <f ca="1"/>
        <v>245.82</v>
      </c>
      <c r="AW10" vm="1278">
        <f ca="1"/>
        <v>228.69</v>
      </c>
      <c r="AX10" vm="1279">
        <f ca="1"/>
        <v>210.28</v>
      </c>
      <c r="AY10" vm="1280">
        <f ca="1"/>
        <v>214.44</v>
      </c>
      <c r="AZ10" vm="1281">
        <f ca="1"/>
        <v>216.87</v>
      </c>
      <c r="BA10" vm="733">
        <f ca="1"/>
        <v>234.34</v>
      </c>
      <c r="BB10" vm="1282">
        <f ca="1"/>
        <v>227.11</v>
      </c>
      <c r="BC10" vm="1283">
        <f ca="1"/>
        <v>236.2</v>
      </c>
      <c r="BD10" vm="1284">
        <f ca="1"/>
        <v>234.72</v>
      </c>
      <c r="BE10" vm="1285">
        <f ca="1"/>
        <v>233.13</v>
      </c>
      <c r="BF10" vm="1286">
        <f ca="1"/>
        <v>229.61</v>
      </c>
      <c r="BG10" vm="1287">
        <f ca="1"/>
        <v>231.96</v>
      </c>
      <c r="BH10" vm="1288">
        <f ca="1"/>
        <v>228.99</v>
      </c>
      <c r="BI10" vm="1289">
        <f ca="1"/>
        <v>235.59</v>
      </c>
      <c r="BJ10" vm="1290">
        <f ca="1"/>
        <v>240.88</v>
      </c>
      <c r="BK10" vm="419">
        <f ca="1"/>
        <v>244.64</v>
      </c>
      <c r="BL10" vm="410">
        <f ca="1"/>
        <v>243.55</v>
      </c>
      <c r="BM10" vm="1291">
        <f ca="1"/>
        <v>243.22</v>
      </c>
      <c r="BN10" vm="1292">
        <f ca="1"/>
        <v>244.62</v>
      </c>
      <c r="BO10" vm="1292">
        <f ca="1"/>
        <v>244.62</v>
      </c>
      <c r="BP10" vm="1293">
        <f ca="1"/>
        <v>246.89</v>
      </c>
      <c r="BQ10" vm="1294">
        <f ca="1"/>
        <v>252.51</v>
      </c>
      <c r="BR10" vm="1295">
        <f ca="1"/>
        <v>252.56</v>
      </c>
      <c r="BS10" vm="1296">
        <f ca="1"/>
        <v>249.25</v>
      </c>
      <c r="BT10" vm="1297">
        <f ca="1"/>
        <v>249.39</v>
      </c>
      <c r="BU10" vm="1298">
        <f ca="1"/>
        <v>253.47</v>
      </c>
      <c r="BV10" vm="1299">
        <f ca="1"/>
        <v>253.08</v>
      </c>
      <c r="BW10" vm="1300">
        <f ca="1"/>
        <v>260.05</v>
      </c>
      <c r="BX10" vm="1301">
        <f ca="1"/>
        <v>263.01</v>
      </c>
      <c r="BY10" vm="1302">
        <f ca="1"/>
        <v>265.64</v>
      </c>
      <c r="BZ10" vm="1303">
        <f ca="1"/>
        <v>267.49</v>
      </c>
      <c r="CA10" vm="1304">
        <f ca="1"/>
        <v>267.56</v>
      </c>
      <c r="CB10" vm="1305">
        <f ca="1"/>
        <v>264.88</v>
      </c>
      <c r="CC10" vm="1306">
        <f ca="1"/>
        <v>265.68</v>
      </c>
      <c r="CD10" vm="1307">
        <f ca="1"/>
        <v>261.04000000000002</v>
      </c>
      <c r="CE10" vm="1308">
        <f ca="1"/>
        <v>260.67</v>
      </c>
      <c r="CF10" vm="1309">
        <f ca="1"/>
        <v>260.70999999999998</v>
      </c>
      <c r="CG10" vm="1310">
        <f ca="1"/>
        <v>265.29000000000002</v>
      </c>
      <c r="CH10" vm="1311">
        <f ca="1"/>
        <v>263.49</v>
      </c>
      <c r="CI10" vm="1312">
        <f ca="1"/>
        <v>264.37</v>
      </c>
      <c r="CJ10" vm="1313">
        <f ca="1"/>
        <v>264</v>
      </c>
      <c r="CK10" vm="1314">
        <f ca="1"/>
        <v>264.66000000000003</v>
      </c>
      <c r="CL10" vm="1315">
        <f ca="1"/>
        <v>266.27</v>
      </c>
      <c r="CM10" vm="1316">
        <f ca="1"/>
        <v>264.22000000000003</v>
      </c>
      <c r="CN10" vm="1317">
        <f ca="1"/>
        <v>261.95</v>
      </c>
      <c r="CO10" vm="1318">
        <f ca="1"/>
        <v>265.73</v>
      </c>
      <c r="CP10" vm="1319">
        <f ca="1"/>
        <v>266.74</v>
      </c>
      <c r="CQ10" vm="1320">
        <f ca="1"/>
        <v>268.60000000000002</v>
      </c>
      <c r="CR10" vm="1321">
        <f ca="1"/>
        <v>268.14999999999998</v>
      </c>
      <c r="CS10" vm="1322">
        <f ca="1"/>
        <v>268.24</v>
      </c>
      <c r="CT10" vm="1323">
        <f ca="1"/>
        <v>264.95</v>
      </c>
      <c r="CU10" vm="1324">
        <f ca="1"/>
        <v>270.36</v>
      </c>
      <c r="CV10" vm="1325">
        <f ca="1"/>
        <v>269.52</v>
      </c>
      <c r="CW10" vm="1326">
        <f ca="1"/>
        <v>273.95999999999998</v>
      </c>
      <c r="CX10" vm="1327">
        <f ca="1"/>
        <v>275</v>
      </c>
      <c r="CY10" vm="1328">
        <f ca="1"/>
        <v>278.27</v>
      </c>
      <c r="CZ10" vm="1329">
        <f ca="1"/>
        <v>281.26</v>
      </c>
      <c r="DA10" vm="1330">
        <f ca="1"/>
        <v>284.06</v>
      </c>
      <c r="DB10" vm="1331">
        <f ca="1"/>
        <v>288.75</v>
      </c>
      <c r="DC10" vm="1332">
        <f ca="1"/>
        <v>287.11</v>
      </c>
      <c r="DD10" vm="1333">
        <f ca="1"/>
        <v>289.91000000000003</v>
      </c>
      <c r="DE10" vm="1334">
        <f ca="1"/>
        <v>290.41000000000003</v>
      </c>
      <c r="DF10" vm="1335">
        <f ca="1"/>
        <v>292</v>
      </c>
      <c r="DG10" vm="1336">
        <f ca="1"/>
        <v>296</v>
      </c>
      <c r="DH10" vm="1337">
        <f ca="1"/>
        <v>291.97000000000003</v>
      </c>
      <c r="DI10" vm="1338">
        <f ca="1"/>
        <v>282.77999999999997</v>
      </c>
      <c r="DJ10" vm="1339">
        <f ca="1"/>
        <v>283.16000000000003</v>
      </c>
      <c r="DK10" vm="1340">
        <f ca="1"/>
        <v>288.19</v>
      </c>
      <c r="DL10" vm="1341">
        <f ca="1"/>
        <v>286.86</v>
      </c>
      <c r="DM10" vm="1342">
        <f ca="1"/>
        <v>288.7</v>
      </c>
      <c r="DN10" vm="1343">
        <f ca="1"/>
        <v>286.55</v>
      </c>
      <c r="DO10" vm="1344">
        <f ca="1"/>
        <v>285.82</v>
      </c>
      <c r="DP10" vm="1345">
        <f ca="1"/>
        <v>289.89999999999998</v>
      </c>
      <c r="DQ10" vm="1346">
        <f ca="1"/>
        <v>291.27</v>
      </c>
      <c r="DR10" vm="1347">
        <f ca="1"/>
        <v>290.97000000000003</v>
      </c>
      <c r="DS10" vm="1348">
        <f ca="1"/>
        <v>291.43</v>
      </c>
      <c r="DT10" vm="1349">
        <f ca="1"/>
        <v>296.76</v>
      </c>
      <c r="DU10" vm="1350">
        <f ca="1"/>
        <v>296.55</v>
      </c>
      <c r="DV10" vm="1351">
        <f ca="1"/>
        <v>298.62</v>
      </c>
      <c r="DW10" vm="1352">
        <f ca="1"/>
        <v>298.27999999999997</v>
      </c>
      <c r="DX10" vm="1353">
        <f ca="1"/>
        <v>297.04000000000002</v>
      </c>
      <c r="DY10" vm="1354">
        <f ca="1"/>
        <v>299.63</v>
      </c>
      <c r="DZ10" vm="1355">
        <f ca="1"/>
        <v>296.24</v>
      </c>
      <c r="EA10" vm="1356">
        <f ca="1"/>
        <v>289.37</v>
      </c>
      <c r="EB10" vm="1357">
        <f ca="1"/>
        <v>294.26</v>
      </c>
      <c r="EC10" vm="1358">
        <f ca="1"/>
        <v>291.37</v>
      </c>
      <c r="ED10" vm="1359">
        <f ca="1"/>
        <v>291.35000000000002</v>
      </c>
      <c r="EE10" vm="1360">
        <f ca="1"/>
        <v>286.94</v>
      </c>
      <c r="EF10" vm="1361">
        <f ca="1"/>
        <v>288.76</v>
      </c>
      <c r="EG10" vm="1362">
        <f ca="1"/>
        <v>289.56</v>
      </c>
      <c r="EH10" vm="1363">
        <f ca="1"/>
        <v>292.85000000000002</v>
      </c>
      <c r="EI10" vm="1364">
        <f ca="1"/>
        <v>290.52999999999997</v>
      </c>
      <c r="EJ10" vm="1365">
        <f ca="1"/>
        <v>294.16000000000003</v>
      </c>
      <c r="EK10" vm="1366">
        <f ca="1"/>
        <v>290.49</v>
      </c>
      <c r="EL10" vm="1367">
        <f ca="1"/>
        <v>291.52999999999997</v>
      </c>
      <c r="EM10" vm="1368">
        <f ca="1"/>
        <v>290.66000000000003</v>
      </c>
      <c r="EN10" vm="1369">
        <f ca="1"/>
        <v>292.24</v>
      </c>
      <c r="EO10" vm="1370">
        <f ca="1"/>
        <v>291.47000000000003</v>
      </c>
      <c r="EP10" vm="1355">
        <f ca="1"/>
        <v>296.24</v>
      </c>
      <c r="EQ10" vm="1371">
        <f ca="1"/>
        <v>294.89999999999998</v>
      </c>
      <c r="ER10" vm="1372">
        <f ca="1"/>
        <v>298.57</v>
      </c>
      <c r="ES10" vm="1373">
        <f ca="1"/>
        <v>299.27999999999997</v>
      </c>
      <c r="ET10" vm="1374">
        <f ca="1"/>
        <v>301.07</v>
      </c>
      <c r="EU10" vm="1375">
        <f ca="1"/>
        <v>301.42</v>
      </c>
      <c r="EV10" vm="1376">
        <f ca="1"/>
        <v>299.7</v>
      </c>
      <c r="EW10" vm="1377">
        <f ca="1"/>
        <v>299.51</v>
      </c>
      <c r="EX10" vm="1378">
        <f ca="1"/>
        <v>303.82</v>
      </c>
      <c r="EY10" vm="1379">
        <f ca="1"/>
        <v>294.38</v>
      </c>
      <c r="EZ10" vm="1380">
        <f ca="1"/>
        <v>292.91000000000003</v>
      </c>
      <c r="FA10" vm="1381">
        <f ca="1"/>
        <v>297.85000000000002</v>
      </c>
      <c r="FB10" vm="1382">
        <f ca="1"/>
        <v>300.54000000000002</v>
      </c>
      <c r="FC10" vm="1383">
        <f ca="1"/>
        <v>305.56</v>
      </c>
      <c r="FD10" vm="1384">
        <f ca="1"/>
        <v>306.91000000000003</v>
      </c>
      <c r="FE10" vm="1385">
        <f ca="1"/>
        <v>308.89999999999998</v>
      </c>
      <c r="FF10" vm="1386">
        <f ca="1"/>
        <v>309.19</v>
      </c>
      <c r="FG10" vm="1387">
        <f ca="1"/>
        <v>311.75</v>
      </c>
      <c r="FH10" vm="1388">
        <f ca="1"/>
        <v>313.23</v>
      </c>
      <c r="FI10" vm="1389">
        <f ca="1"/>
        <v>314.77999999999997</v>
      </c>
      <c r="FJ10" vm="1390">
        <f ca="1"/>
        <v>312.44</v>
      </c>
      <c r="FK10" vm="1391">
        <f ca="1"/>
        <v>312.74</v>
      </c>
      <c r="FL10" vm="1392">
        <f ca="1"/>
        <v>313.42</v>
      </c>
      <c r="FM10" vm="1393">
        <f ca="1"/>
        <v>313.45</v>
      </c>
      <c r="FN10" vm="1394">
        <f ca="1"/>
        <v>316.06</v>
      </c>
      <c r="FO10" vm="1395">
        <f ca="1"/>
        <v>315.69</v>
      </c>
      <c r="FP10" vm="1396">
        <f ca="1"/>
        <v>315.43</v>
      </c>
      <c r="FQ10" vm="1397">
        <f ca="1"/>
        <v>310.70999999999998</v>
      </c>
      <c r="FR10" vm="1398">
        <f ca="1"/>
        <v>307.55</v>
      </c>
      <c r="FS10" vm="1399">
        <f ca="1"/>
        <v>310.02999999999997</v>
      </c>
      <c r="FT10" vm="1400">
        <f ca="1"/>
        <v>309.18</v>
      </c>
      <c r="FU10" vm="1401">
        <f ca="1"/>
        <v>307.69</v>
      </c>
      <c r="FV10" vm="1402">
        <f ca="1"/>
        <v>304.02999999999997</v>
      </c>
      <c r="FW10" vm="1403">
        <f ca="1"/>
        <v>305.52999999999997</v>
      </c>
      <c r="FX10" vm="1404">
        <f ca="1"/>
        <v>300.89</v>
      </c>
      <c r="FY10" vm="1405">
        <f ca="1"/>
        <v>307.97000000000003</v>
      </c>
      <c r="FZ10" vm="1406">
        <f ca="1"/>
        <v>302.08</v>
      </c>
      <c r="GA10" vm="1407">
        <f ca="1"/>
        <v>305.69</v>
      </c>
      <c r="GB10" vm="1408">
        <f ca="1"/>
        <v>298.54000000000002</v>
      </c>
      <c r="GC10" vm="1409">
        <f ca="1"/>
        <v>297.56</v>
      </c>
      <c r="GD10" vm="1410">
        <f ca="1"/>
        <v>302.36</v>
      </c>
      <c r="GE10" vm="1411">
        <f ca="1"/>
        <v>297.08999999999997</v>
      </c>
      <c r="GF10" vm="1412">
        <f ca="1"/>
        <v>294.11</v>
      </c>
      <c r="GG10" vm="1413">
        <f ca="1"/>
        <v>294.54000000000002</v>
      </c>
      <c r="GH10" vm="1414">
        <f ca="1"/>
        <v>300.44</v>
      </c>
      <c r="GI10" vm="1415">
        <f ca="1"/>
        <v>304.14999999999998</v>
      </c>
      <c r="GJ10" vm="1416">
        <f ca="1"/>
        <v>305.36</v>
      </c>
      <c r="GK10" vm="1417">
        <f ca="1"/>
        <v>305.51</v>
      </c>
      <c r="GL10" vm="1418">
        <f ca="1"/>
        <v>309.44</v>
      </c>
      <c r="GM10" vm="1419">
        <f ca="1"/>
        <v>311.12</v>
      </c>
      <c r="GN10" vm="1420">
        <f ca="1"/>
        <v>309.35000000000002</v>
      </c>
      <c r="GO10" vm="1421">
        <f ca="1"/>
        <v>309.25</v>
      </c>
      <c r="GP10" vm="1422">
        <f ca="1"/>
        <v>311.68</v>
      </c>
      <c r="GQ10" vm="1392">
        <f ca="1"/>
        <v>313.42</v>
      </c>
      <c r="GR10" vm="1423">
        <f ca="1"/>
        <v>314.20999999999998</v>
      </c>
      <c r="GS10" vm="1424">
        <f ca="1"/>
        <v>316.89</v>
      </c>
      <c r="GT10" vm="1425">
        <f ca="1"/>
        <v>315.62</v>
      </c>
      <c r="GU10" vm="1426">
        <f ca="1"/>
        <v>320.41000000000003</v>
      </c>
      <c r="GV10" vm="1427">
        <f ca="1"/>
        <v>309.48</v>
      </c>
      <c r="GW10" vm="1428">
        <f ca="1"/>
        <v>303.61</v>
      </c>
      <c r="GX10" vm="1429">
        <f ca="1"/>
        <v>300.37</v>
      </c>
      <c r="GY10" vm="1430">
        <f ca="1"/>
        <v>299.41000000000003</v>
      </c>
      <c r="GZ10" vm="1431">
        <f ca="1"/>
        <v>303.27</v>
      </c>
      <c r="HA10" vm="1432">
        <f ca="1"/>
        <v>298.38</v>
      </c>
      <c r="HB10" vm="1433">
        <f ca="1"/>
        <v>298.02</v>
      </c>
      <c r="HC10" vm="1434">
        <f ca="1"/>
        <v>298</v>
      </c>
      <c r="HD10" vm="1435">
        <f ca="1"/>
        <v>303</v>
      </c>
      <c r="HE10" vm="1436">
        <f ca="1"/>
        <v>307.64</v>
      </c>
      <c r="HF10" vm="1437">
        <f ca="1"/>
        <v>313.08</v>
      </c>
      <c r="HG10" vm="1438">
        <f ca="1"/>
        <v>308.92</v>
      </c>
      <c r="HH10" vm="1439">
        <f ca="1"/>
        <v>307.88</v>
      </c>
      <c r="HI10" vm="1440">
        <f ca="1"/>
        <v>312.13</v>
      </c>
      <c r="HJ10" vm="1441">
        <f ca="1"/>
        <v>316.10000000000002</v>
      </c>
      <c r="HK10" vm="1442">
        <f ca="1"/>
        <v>315.04000000000002</v>
      </c>
      <c r="HL10" vm="1443">
        <f ca="1"/>
        <v>315.20999999999998</v>
      </c>
      <c r="HM10" vm="1444">
        <f ca="1"/>
        <v>300.51</v>
      </c>
      <c r="HN10" vm="1445">
        <f ca="1"/>
        <v>310.11</v>
      </c>
      <c r="HO10" vm="1446">
        <f ca="1"/>
        <v>317.38</v>
      </c>
      <c r="HP10" vm="1447">
        <f ca="1"/>
        <v>318.52</v>
      </c>
      <c r="HQ10" vm="1448">
        <f ca="1"/>
        <v>320.02</v>
      </c>
      <c r="HR10" vm="1449">
        <f ca="1"/>
        <v>315.55</v>
      </c>
      <c r="HS10" vm="1450">
        <f ca="1"/>
        <v>314.98</v>
      </c>
      <c r="HT10" vm="1451">
        <f ca="1"/>
        <v>313</v>
      </c>
      <c r="HU10" vm="1452">
        <f ca="1"/>
        <v>317.20999999999998</v>
      </c>
      <c r="HV10" vm="1453">
        <f ca="1"/>
        <v>323.08999999999997</v>
      </c>
      <c r="HW10" vm="1454">
        <f ca="1"/>
        <v>325.93</v>
      </c>
      <c r="HX10" vm="1455">
        <f ca="1"/>
        <v>329.17</v>
      </c>
      <c r="HY10" vm="1456">
        <f ca="1"/>
        <v>327.91</v>
      </c>
      <c r="HZ10" vm="1457">
        <f ca="1"/>
        <v>323.75</v>
      </c>
      <c r="IA10" vm="1458">
        <f ca="1"/>
        <v>323.42</v>
      </c>
      <c r="IB10" vm="1459">
        <f ca="1"/>
        <v>322.22000000000003</v>
      </c>
      <c r="IC10" vm="1460">
        <f ca="1"/>
        <v>325.48</v>
      </c>
      <c r="ID10" vm="1461">
        <f ca="1"/>
        <v>334.04</v>
      </c>
      <c r="IE10" vm="1462">
        <f ca="1"/>
        <v>334.61</v>
      </c>
      <c r="IF10" vm="1463">
        <f ca="1"/>
        <v>326.99</v>
      </c>
      <c r="IG10" vm="1464">
        <f ca="1"/>
        <v>329.79</v>
      </c>
      <c r="IH10" vm="1465">
        <f ca="1"/>
        <v>329.19</v>
      </c>
      <c r="II10" vm="1466">
        <f ca="1"/>
        <v>324.49</v>
      </c>
      <c r="IJ10" vm="1467">
        <f ca="1"/>
        <v>310.89999999999998</v>
      </c>
      <c r="IK10" vm="1468">
        <f ca="1"/>
        <v>307.87</v>
      </c>
      <c r="IL10" vm="1469">
        <f ca="1"/>
        <v>309.26</v>
      </c>
      <c r="IM10" vm="1470">
        <f ca="1"/>
        <v>312.47000000000003</v>
      </c>
      <c r="IN10" vm="1471">
        <f ca="1"/>
        <v>302.74</v>
      </c>
      <c r="IO10" vm="1472">
        <f ca="1"/>
        <v>302.04000000000002</v>
      </c>
      <c r="IP10" vm="1473">
        <f ca="1"/>
        <v>303.63</v>
      </c>
      <c r="IQ10" vm="862">
        <f ca="1"/>
        <v>297.72000000000003</v>
      </c>
      <c r="IR10" vm="1474">
        <f ca="1"/>
        <v>301.04000000000002</v>
      </c>
      <c r="IS10" vm="1475">
        <f ca="1"/>
        <v>300.31</v>
      </c>
      <c r="IT10" vm="1476">
        <f ca="1"/>
        <v>300.77</v>
      </c>
      <c r="IU10" vm="1477">
        <f ca="1"/>
        <v>306.42</v>
      </c>
      <c r="IV10" vm="1478">
        <f ca="1"/>
        <v>305.89</v>
      </c>
      <c r="IW10" vm="1479">
        <f ca="1"/>
        <v>308.14</v>
      </c>
      <c r="IX10" vm="1480">
        <f ca="1"/>
        <v>314.85000000000002</v>
      </c>
      <c r="IY10" vm="1481">
        <f ca="1"/>
        <v>317.27</v>
      </c>
      <c r="IZ10" vm="1482">
        <f ca="1"/>
        <v>310.16000000000003</v>
      </c>
      <c r="JA10" vm="1483">
        <f ca="1"/>
        <v>322.39999999999998</v>
      </c>
      <c r="JB10" vm="1484">
        <f ca="1"/>
        <v>322.10000000000002</v>
      </c>
      <c r="JC10" vm="1485">
        <f ca="1"/>
        <v>318.27999999999997</v>
      </c>
    </row>
    <row r="11" spans="1:265" ht="20" customHeight="1" x14ac:dyDescent="0.2">
      <c r="B11" t="e" vm="1486">
        <v>#VALUE!</v>
      </c>
      <c r="C11" t="str">
        <f ca="1"/>
        <v>Semiconductors &amp; Semiconductor Equipment</v>
      </c>
      <c r="D11" t="str">
        <f ca="1"/>
        <v>USD</v>
      </c>
      <c r="E11">
        <v>2</v>
      </c>
      <c r="F11">
        <f ca="1"/>
        <v>188.54</v>
      </c>
      <c r="G11">
        <f ca="1"/>
        <v>377.08</v>
      </c>
      <c r="H11" s="10" cm="1">
        <f t="array" aca="1" ref="H11" ca="1">(F11-IF(C11="USD",_FV( B11,"Clôture précédente",TRUE)*$K$4,_FV( B11,"Clôture précédente",TRUE)))*E11</f>
        <v>-3</v>
      </c>
      <c r="I11" s="7" cm="1">
        <f t="array" aca="1" ref="I11" ca="1">(F11-_FV(B11,"Clôture précédente",TRUE))/_FV(B11,"Clôture précédente",TRUE)</f>
        <v>-7.8930751420753526E-3</v>
      </c>
      <c r="J11" s="11">
        <f ca="1"/>
        <v>42.644999999999982</v>
      </c>
      <c r="K11" t="s">
        <v>19</v>
      </c>
      <c r="M11" cm="1" vm="1487">
        <f t="array" aca="1" ref="M11:JC11" ca="1">TRANSPOSE(_xlfn.STOCKHISTORY(B11,TODAY()-365,TODAY(),0,0,1))</f>
        <v>132.80000000000001</v>
      </c>
      <c r="N11" vm="1488">
        <f ca="1"/>
        <v>131.13999999999999</v>
      </c>
      <c r="O11" vm="1489">
        <f ca="1"/>
        <v>135.29</v>
      </c>
      <c r="P11" vm="1490">
        <f ca="1"/>
        <v>138.85</v>
      </c>
      <c r="Q11" vm="1491">
        <f ca="1"/>
        <v>139.4</v>
      </c>
      <c r="R11" vm="1492">
        <f ca="1"/>
        <v>139.22999999999999</v>
      </c>
      <c r="S11" vm="1493">
        <f ca="1"/>
        <v>140.11000000000001</v>
      </c>
      <c r="T11" vm="1494">
        <f ca="1"/>
        <v>134.43</v>
      </c>
      <c r="U11" vm="1495">
        <f ca="1"/>
        <v>130.28</v>
      </c>
      <c r="V11" vm="1496">
        <f ca="1"/>
        <v>126.63</v>
      </c>
      <c r="W11" vm="1497">
        <f ca="1"/>
        <v>131.28</v>
      </c>
      <c r="X11" vm="1498">
        <f ca="1"/>
        <v>120.15</v>
      </c>
      <c r="Y11" vm="1499">
        <f ca="1"/>
        <v>124.92</v>
      </c>
      <c r="Z11" vm="1500">
        <f ca="1"/>
        <v>114.06</v>
      </c>
      <c r="AA11" vm="1501">
        <f ca="1"/>
        <v>115.99</v>
      </c>
      <c r="AB11" vm="1502">
        <f ca="1"/>
        <v>117.3</v>
      </c>
      <c r="AC11" vm="1503">
        <f ca="1"/>
        <v>110.57</v>
      </c>
      <c r="AD11" vm="1504">
        <f ca="1"/>
        <v>112.69</v>
      </c>
      <c r="AE11" vm="1505">
        <f ca="1"/>
        <v>106.98</v>
      </c>
      <c r="AF11" vm="1506">
        <f ca="1"/>
        <v>108.76</v>
      </c>
      <c r="AG11" vm="1507">
        <f ca="1"/>
        <v>115.74</v>
      </c>
      <c r="AH11" vm="1508">
        <f ca="1"/>
        <v>115.58</v>
      </c>
      <c r="AI11" vm="1509">
        <f ca="1"/>
        <v>121.67</v>
      </c>
      <c r="AJ11" vm="1510">
        <f ca="1"/>
        <v>119.53</v>
      </c>
      <c r="AK11" vm="1511">
        <f ca="1"/>
        <v>115.43</v>
      </c>
      <c r="AL11" vm="1512">
        <f ca="1"/>
        <v>117.52</v>
      </c>
      <c r="AM11" vm="1513">
        <f ca="1"/>
        <v>118.53</v>
      </c>
      <c r="AN11" vm="1514">
        <f ca="1"/>
        <v>117.7</v>
      </c>
      <c r="AO11" vm="1515">
        <f ca="1"/>
        <v>121.41</v>
      </c>
      <c r="AP11" vm="1516">
        <f ca="1"/>
        <v>120.69</v>
      </c>
      <c r="AQ11" vm="1517">
        <f ca="1"/>
        <v>113.76</v>
      </c>
      <c r="AR11" vm="1518">
        <f ca="1"/>
        <v>111.43</v>
      </c>
      <c r="AS11" vm="1519">
        <f ca="1"/>
        <v>109.67</v>
      </c>
      <c r="AT11" vm="1520">
        <f ca="1"/>
        <v>108.38</v>
      </c>
      <c r="AU11" vm="1521">
        <f ca="1"/>
        <v>110.15</v>
      </c>
      <c r="AV11" vm="1522">
        <f ca="1"/>
        <v>110.42</v>
      </c>
      <c r="AW11" vm="1523">
        <f ca="1"/>
        <v>101.8</v>
      </c>
      <c r="AX11" vm="1524">
        <f ca="1"/>
        <v>94.31</v>
      </c>
      <c r="AY11" vm="1525">
        <f ca="1"/>
        <v>97.64</v>
      </c>
      <c r="AZ11" vm="1526">
        <f ca="1"/>
        <v>96.3</v>
      </c>
      <c r="BA11" vm="1527">
        <f ca="1"/>
        <v>114.33</v>
      </c>
      <c r="BB11" vm="1528">
        <f ca="1"/>
        <v>107.57</v>
      </c>
      <c r="BC11" vm="1529">
        <f ca="1"/>
        <v>110.93</v>
      </c>
      <c r="BD11" vm="1530">
        <f ca="1"/>
        <v>110.71</v>
      </c>
      <c r="BE11" vm="1531">
        <f ca="1"/>
        <v>112.2</v>
      </c>
      <c r="BF11" vm="1532">
        <f ca="1"/>
        <v>104.49</v>
      </c>
      <c r="BG11" vm="1533">
        <f ca="1"/>
        <v>101.49</v>
      </c>
      <c r="BH11" vm="1534">
        <f ca="1"/>
        <v>96.91</v>
      </c>
      <c r="BI11" vm="1535">
        <f ca="1"/>
        <v>98.89</v>
      </c>
      <c r="BJ11" vm="1536">
        <f ca="1"/>
        <v>102.71</v>
      </c>
      <c r="BK11" vm="1537">
        <f ca="1"/>
        <v>106.43</v>
      </c>
      <c r="BL11" vm="1538">
        <f ca="1"/>
        <v>111.01</v>
      </c>
      <c r="BM11" vm="1539">
        <f ca="1"/>
        <v>108.73</v>
      </c>
      <c r="BN11" vm="1540">
        <f ca="1"/>
        <v>109.02</v>
      </c>
      <c r="BO11" vm="1541">
        <f ca="1"/>
        <v>108.92</v>
      </c>
      <c r="BP11" vm="1542">
        <f ca="1"/>
        <v>111.61</v>
      </c>
      <c r="BQ11" vm="1543">
        <f ca="1"/>
        <v>114.5</v>
      </c>
      <c r="BR11" vm="1544">
        <f ca="1"/>
        <v>113.82</v>
      </c>
      <c r="BS11" vm="1545">
        <f ca="1"/>
        <v>113.54</v>
      </c>
      <c r="BT11" vm="1546">
        <f ca="1"/>
        <v>117.06</v>
      </c>
      <c r="BU11" vm="1547">
        <f ca="1"/>
        <v>117.37</v>
      </c>
      <c r="BV11" vm="1548">
        <f ca="1"/>
        <v>116.65</v>
      </c>
      <c r="BW11" vm="1549">
        <f ca="1"/>
        <v>123</v>
      </c>
      <c r="BX11" vm="1550">
        <f ca="1"/>
        <v>129.93</v>
      </c>
      <c r="BY11" vm="1551">
        <f ca="1"/>
        <v>135.34</v>
      </c>
      <c r="BZ11" vm="1552">
        <f ca="1"/>
        <v>134.83000000000001</v>
      </c>
      <c r="CA11" vm="1553">
        <f ca="1"/>
        <v>135.4</v>
      </c>
      <c r="CB11" vm="1554">
        <f ca="1"/>
        <v>135.57</v>
      </c>
      <c r="CC11" vm="1555">
        <f ca="1"/>
        <v>134.38</v>
      </c>
      <c r="CD11" vm="1556">
        <f ca="1"/>
        <v>131.80000000000001</v>
      </c>
      <c r="CE11" vm="1557">
        <f ca="1"/>
        <v>132.83000000000001</v>
      </c>
      <c r="CF11" vm="1558">
        <f ca="1"/>
        <v>131.29</v>
      </c>
      <c r="CG11" vm="1559">
        <f ca="1"/>
        <v>135.5</v>
      </c>
      <c r="CH11" vm="1560">
        <f ca="1"/>
        <v>134.81</v>
      </c>
      <c r="CI11" vm="1561">
        <f ca="1"/>
        <v>139.19</v>
      </c>
      <c r="CJ11" vm="1562">
        <f ca="1"/>
        <v>135.13</v>
      </c>
      <c r="CK11" vm="1563">
        <f ca="1"/>
        <v>137.38</v>
      </c>
      <c r="CL11" vm="1564">
        <f ca="1"/>
        <v>141.22</v>
      </c>
      <c r="CM11" vm="1565">
        <f ca="1"/>
        <v>141.91999999999999</v>
      </c>
      <c r="CN11" vm="1566">
        <f ca="1"/>
        <v>139.99</v>
      </c>
      <c r="CO11" vm="1567">
        <f ca="1"/>
        <v>141.72</v>
      </c>
      <c r="CP11" vm="1568">
        <f ca="1"/>
        <v>142.63</v>
      </c>
      <c r="CQ11" vm="1569">
        <f ca="1"/>
        <v>143.96</v>
      </c>
      <c r="CR11" vm="1570">
        <f ca="1"/>
        <v>142.83000000000001</v>
      </c>
      <c r="CS11" vm="1571">
        <f ca="1"/>
        <v>145</v>
      </c>
      <c r="CT11" vm="1572">
        <f ca="1"/>
        <v>141.97</v>
      </c>
      <c r="CU11" vm="1573">
        <f ca="1"/>
        <v>144.69</v>
      </c>
      <c r="CV11" vm="1574">
        <f ca="1"/>
        <v>144.12</v>
      </c>
      <c r="CW11" vm="1575">
        <f ca="1"/>
        <v>145.47999999999999</v>
      </c>
      <c r="CX11" vm="1576">
        <f ca="1"/>
        <v>143.85</v>
      </c>
      <c r="CY11" vm="1577">
        <f ca="1"/>
        <v>144.16999999999999</v>
      </c>
      <c r="CZ11" vm="1578">
        <f ca="1"/>
        <v>147.9</v>
      </c>
      <c r="DA11" vm="1579">
        <f ca="1"/>
        <v>154.31</v>
      </c>
      <c r="DB11" vm="1580">
        <f ca="1"/>
        <v>155.02000000000001</v>
      </c>
      <c r="DC11" vm="1581">
        <f ca="1"/>
        <v>157.75</v>
      </c>
      <c r="DD11" vm="1582">
        <f ca="1"/>
        <v>157.99</v>
      </c>
      <c r="DE11" vm="1583">
        <f ca="1"/>
        <v>153.30000000000001</v>
      </c>
      <c r="DF11" vm="1584">
        <f ca="1"/>
        <v>157.25</v>
      </c>
      <c r="DG11" vm="1585">
        <f ca="1"/>
        <v>159.34</v>
      </c>
      <c r="DH11" vm="1586">
        <f ca="1"/>
        <v>158.24</v>
      </c>
      <c r="DI11" vm="1587">
        <f ca="1"/>
        <v>160</v>
      </c>
      <c r="DJ11" vm="1588">
        <f ca="1"/>
        <v>162.88</v>
      </c>
      <c r="DK11" vm="1589">
        <f ca="1"/>
        <v>164.1</v>
      </c>
      <c r="DL11" vm="1590">
        <f ca="1"/>
        <v>164.92</v>
      </c>
      <c r="DM11" vm="1591">
        <f ca="1"/>
        <v>164.07</v>
      </c>
      <c r="DN11" vm="1592">
        <f ca="1"/>
        <v>170.7</v>
      </c>
      <c r="DO11" vm="1593">
        <f ca="1"/>
        <v>171.37</v>
      </c>
      <c r="DP11" vm="1594">
        <f ca="1"/>
        <v>173</v>
      </c>
      <c r="DQ11" vm="1595">
        <f ca="1"/>
        <v>172.41</v>
      </c>
      <c r="DR11" vm="1596">
        <f ca="1"/>
        <v>171.38</v>
      </c>
      <c r="DS11" vm="1597">
        <f ca="1"/>
        <v>167.03</v>
      </c>
      <c r="DT11" vm="1598">
        <f ca="1"/>
        <v>170.78</v>
      </c>
      <c r="DU11" vm="1599">
        <f ca="1"/>
        <v>173.74</v>
      </c>
      <c r="DV11" vm="1600">
        <f ca="1"/>
        <v>173.5</v>
      </c>
      <c r="DW11" vm="1601">
        <f ca="1"/>
        <v>176.75</v>
      </c>
      <c r="DX11" vm="1602">
        <f ca="1"/>
        <v>175.51</v>
      </c>
      <c r="DY11" vm="776">
        <f ca="1"/>
        <v>179.27</v>
      </c>
      <c r="DZ11" vm="1603">
        <f ca="1"/>
        <v>177.87</v>
      </c>
      <c r="EA11" vm="1604">
        <f ca="1"/>
        <v>173.72</v>
      </c>
      <c r="EB11" vm="1605">
        <f ca="1"/>
        <v>180</v>
      </c>
      <c r="EC11" vm="1606">
        <f ca="1"/>
        <v>178.26</v>
      </c>
      <c r="ED11" vm="1607">
        <f ca="1"/>
        <v>179.42</v>
      </c>
      <c r="EE11" vm="1608">
        <f ca="1"/>
        <v>180.77</v>
      </c>
      <c r="EF11" vm="1609">
        <f ca="1"/>
        <v>182.7</v>
      </c>
      <c r="EG11" vm="1610">
        <f ca="1"/>
        <v>182.06</v>
      </c>
      <c r="EH11" vm="1611">
        <f ca="1"/>
        <v>183.16</v>
      </c>
      <c r="EI11" vm="1612">
        <f ca="1"/>
        <v>181.59</v>
      </c>
      <c r="EJ11" vm="1613">
        <f ca="1"/>
        <v>182.02</v>
      </c>
      <c r="EK11" vm="1614">
        <f ca="1"/>
        <v>180.45</v>
      </c>
      <c r="EL11" vm="1615">
        <f ca="1"/>
        <v>182.01</v>
      </c>
      <c r="EM11" vm="1616">
        <f ca="1"/>
        <v>175.64</v>
      </c>
      <c r="EN11" vm="1617">
        <f ca="1"/>
        <v>175.4</v>
      </c>
      <c r="EO11" vm="1618">
        <f ca="1"/>
        <v>174.98</v>
      </c>
      <c r="EP11" vm="1619">
        <f ca="1"/>
        <v>177.99</v>
      </c>
      <c r="EQ11" vm="1620">
        <f ca="1"/>
        <v>179.81</v>
      </c>
      <c r="ER11" vm="1621">
        <f ca="1"/>
        <v>181.77</v>
      </c>
      <c r="ES11" vm="1622">
        <f ca="1"/>
        <v>181.6</v>
      </c>
      <c r="ET11" vm="1623">
        <f ca="1"/>
        <v>180.17</v>
      </c>
      <c r="EU11" vm="1624">
        <f ca="1"/>
        <v>174.18</v>
      </c>
      <c r="EV11" vm="1598">
        <f ca="1"/>
        <v>170.78</v>
      </c>
      <c r="EW11" vm="1625">
        <f ca="1"/>
        <v>170.62</v>
      </c>
      <c r="EX11" vm="1626">
        <f ca="1"/>
        <v>171.66</v>
      </c>
      <c r="EY11" vm="1627">
        <f ca="1"/>
        <v>167.02</v>
      </c>
      <c r="EZ11" vm="1628">
        <f ca="1"/>
        <v>168.31</v>
      </c>
      <c r="FA11" vm="1629">
        <f ca="1"/>
        <v>170.76</v>
      </c>
      <c r="FB11" vm="1630">
        <f ca="1"/>
        <v>177.33</v>
      </c>
      <c r="FC11" vm="1631">
        <f ca="1"/>
        <v>177.17</v>
      </c>
      <c r="FD11" vm="1632">
        <f ca="1"/>
        <v>177.82</v>
      </c>
      <c r="FE11" vm="1633">
        <f ca="1"/>
        <v>177.75</v>
      </c>
      <c r="FF11" vm="1634">
        <f ca="1"/>
        <v>174.88</v>
      </c>
      <c r="FG11" vm="1635">
        <f ca="1"/>
        <v>170.29</v>
      </c>
      <c r="FH11" vm="1636">
        <f ca="1"/>
        <v>176.24</v>
      </c>
      <c r="FI11" vm="1637">
        <f ca="1"/>
        <v>176.67</v>
      </c>
      <c r="FJ11" vm="1638">
        <f ca="1"/>
        <v>183.61</v>
      </c>
      <c r="FK11" vm="1639">
        <f ca="1"/>
        <v>178.43</v>
      </c>
      <c r="FL11" vm="336">
        <f ca="1"/>
        <v>176.97</v>
      </c>
      <c r="FM11" vm="1640">
        <f ca="1"/>
        <v>177.69</v>
      </c>
      <c r="FN11" vm="1641">
        <f ca="1"/>
        <v>178.19</v>
      </c>
      <c r="FO11" vm="1642">
        <f ca="1"/>
        <v>181.85</v>
      </c>
      <c r="FP11" vm="1643">
        <f ca="1"/>
        <v>186.58</v>
      </c>
      <c r="FQ11" vm="1644">
        <f ca="1"/>
        <v>187.24</v>
      </c>
      <c r="FR11" vm="1645">
        <f ca="1"/>
        <v>188.89</v>
      </c>
      <c r="FS11" vm="1646">
        <f ca="1"/>
        <v>187.62</v>
      </c>
      <c r="FT11" vm="1647">
        <f ca="1"/>
        <v>185.54</v>
      </c>
      <c r="FU11" vm="1648">
        <f ca="1"/>
        <v>185.04</v>
      </c>
      <c r="FV11" vm="1649">
        <f ca="1"/>
        <v>189.11</v>
      </c>
      <c r="FW11" vm="1650">
        <f ca="1"/>
        <v>192.57</v>
      </c>
      <c r="FX11" vm="1611">
        <f ca="1"/>
        <v>183.16</v>
      </c>
      <c r="FY11" vm="1651">
        <f ca="1"/>
        <v>188.32</v>
      </c>
      <c r="FZ11" vm="1652">
        <f ca="1"/>
        <v>180.03</v>
      </c>
      <c r="GA11" vm="1653">
        <f ca="1"/>
        <v>179.83</v>
      </c>
      <c r="GB11" vm="1654">
        <f ca="1"/>
        <v>181.81</v>
      </c>
      <c r="GC11" vm="1655">
        <f ca="1"/>
        <v>183.22</v>
      </c>
      <c r="GD11" vm="1656">
        <f ca="1"/>
        <v>182.64</v>
      </c>
      <c r="GE11" vm="1657">
        <f ca="1"/>
        <v>181.16</v>
      </c>
      <c r="GF11" vm="1658">
        <f ca="1"/>
        <v>180.28</v>
      </c>
      <c r="GG11" vm="1659">
        <f ca="1"/>
        <v>182.16</v>
      </c>
      <c r="GH11" vm="1660">
        <f ca="1"/>
        <v>186.26</v>
      </c>
      <c r="GI11" vm="1661">
        <f ca="1"/>
        <v>191.49</v>
      </c>
      <c r="GJ11" vm="1662">
        <f ca="1"/>
        <v>201.03</v>
      </c>
      <c r="GK11" vm="1663">
        <f ca="1"/>
        <v>207.04</v>
      </c>
      <c r="GL11" vm="1664">
        <f ca="1"/>
        <v>202.89</v>
      </c>
      <c r="GM11" vm="381">
        <f ca="1"/>
        <v>202.49</v>
      </c>
      <c r="GN11" vm="1665">
        <f ca="1"/>
        <v>206.88</v>
      </c>
      <c r="GO11" vm="1666">
        <f ca="1"/>
        <v>198.69</v>
      </c>
      <c r="GP11" vm="1667">
        <f ca="1"/>
        <v>195.21</v>
      </c>
      <c r="GQ11" vm="1668">
        <f ca="1"/>
        <v>188.08</v>
      </c>
      <c r="GR11" vm="794">
        <f ca="1"/>
        <v>188.15</v>
      </c>
      <c r="GS11" vm="1669">
        <f ca="1"/>
        <v>199.05</v>
      </c>
      <c r="GT11" vm="1670">
        <f ca="1"/>
        <v>193.16</v>
      </c>
      <c r="GU11" vm="1671">
        <f ca="1"/>
        <v>193.8</v>
      </c>
      <c r="GV11" vm="1672">
        <f ca="1"/>
        <v>186.86</v>
      </c>
      <c r="GW11" vm="1673">
        <f ca="1"/>
        <v>190.17</v>
      </c>
      <c r="GX11" vm="1674">
        <f ca="1"/>
        <v>186.6</v>
      </c>
      <c r="GY11" vm="1675">
        <f ca="1"/>
        <v>181.36</v>
      </c>
      <c r="GZ11" vm="1676">
        <f ca="1"/>
        <v>186.52</v>
      </c>
      <c r="HA11" vm="1677">
        <f ca="1"/>
        <v>180.64</v>
      </c>
      <c r="HB11" vm="1678">
        <f ca="1"/>
        <v>178.88</v>
      </c>
      <c r="HC11" vm="1679">
        <f ca="1"/>
        <v>182.55</v>
      </c>
      <c r="HD11" vm="1632">
        <f ca="1"/>
        <v>177.82</v>
      </c>
      <c r="HE11" vm="1680">
        <f ca="1"/>
        <v>180.26</v>
      </c>
      <c r="HF11" vm="1681">
        <f ca="1"/>
        <v>177</v>
      </c>
      <c r="HG11" vm="1682">
        <f ca="1"/>
        <v>179.92</v>
      </c>
      <c r="HH11" vm="1683">
        <f ca="1"/>
        <v>181.46</v>
      </c>
      <c r="HI11" vm="546">
        <f ca="1"/>
        <v>179.59</v>
      </c>
      <c r="HJ11" vm="1684">
        <f ca="1"/>
        <v>183.38</v>
      </c>
      <c r="HK11" vm="1685">
        <f ca="1"/>
        <v>182.41</v>
      </c>
      <c r="HL11" vm="1686">
        <f ca="1"/>
        <v>185.55</v>
      </c>
      <c r="HM11" vm="1687">
        <f ca="1"/>
        <v>184.97</v>
      </c>
      <c r="HN11" vm="1688">
        <f ca="1"/>
        <v>183.78</v>
      </c>
      <c r="HO11" vm="1689">
        <f ca="1"/>
        <v>180.93</v>
      </c>
      <c r="HP11" vm="1690">
        <f ca="1"/>
        <v>175.02</v>
      </c>
      <c r="HQ11" vm="1691">
        <f ca="1"/>
        <v>176.29</v>
      </c>
      <c r="HR11" vm="1692">
        <f ca="1"/>
        <v>177.72</v>
      </c>
      <c r="HS11" vm="1693">
        <f ca="1"/>
        <v>170.94</v>
      </c>
      <c r="HT11" vm="1694">
        <f ca="1"/>
        <v>174.14</v>
      </c>
      <c r="HU11" vm="1695">
        <f ca="1"/>
        <v>180.99</v>
      </c>
      <c r="HV11" vm="1696">
        <f ca="1"/>
        <v>183.69</v>
      </c>
      <c r="HW11" vm="1697">
        <f ca="1"/>
        <v>189.21</v>
      </c>
      <c r="HX11" vm="1698">
        <f ca="1"/>
        <v>188.61</v>
      </c>
      <c r="HY11" vm="1699">
        <f ca="1"/>
        <v>190.53</v>
      </c>
      <c r="HZ11" vm="1700">
        <f ca="1"/>
        <v>188.22</v>
      </c>
      <c r="IA11" vm="1701">
        <f ca="1"/>
        <v>187.54</v>
      </c>
      <c r="IB11" vm="1702">
        <f ca="1"/>
        <v>186.5</v>
      </c>
      <c r="IC11" vm="1703">
        <f ca="1"/>
        <v>188.85</v>
      </c>
      <c r="ID11" vm="1704">
        <f ca="1"/>
        <v>188.12</v>
      </c>
      <c r="IE11" vm="1644">
        <f ca="1"/>
        <v>187.24</v>
      </c>
      <c r="IF11" vm="1649">
        <f ca="1"/>
        <v>189.11</v>
      </c>
      <c r="IG11" vm="1648">
        <f ca="1"/>
        <v>185.04</v>
      </c>
      <c r="IH11" vm="1705">
        <f ca="1"/>
        <v>184.86</v>
      </c>
      <c r="II11" vm="1706">
        <f ca="1"/>
        <v>184.94</v>
      </c>
      <c r="IJ11" vm="1707">
        <f ca="1"/>
        <v>185.81</v>
      </c>
      <c r="IK11" vm="1708">
        <f ca="1"/>
        <v>183.14</v>
      </c>
      <c r="IL11" vm="1709">
        <f ca="1"/>
        <v>187.05</v>
      </c>
      <c r="IM11" vm="1710">
        <f ca="1"/>
        <v>186.23</v>
      </c>
      <c r="IN11" vm="1711">
        <f ca="1"/>
        <v>178.07</v>
      </c>
      <c r="IO11" vm="1712">
        <f ca="1"/>
        <v>183.32</v>
      </c>
      <c r="IP11" vm="1713">
        <f ca="1"/>
        <v>184.84</v>
      </c>
      <c r="IQ11" vm="1714">
        <f ca="1"/>
        <v>187.67</v>
      </c>
      <c r="IR11" vm="1715">
        <f ca="1"/>
        <v>186.47</v>
      </c>
      <c r="IS11" vm="1716">
        <f ca="1"/>
        <v>188.52</v>
      </c>
      <c r="IT11" vm="1717">
        <f ca="1"/>
        <v>191.52</v>
      </c>
      <c r="IU11" vm="1718">
        <f ca="1"/>
        <v>192.51</v>
      </c>
      <c r="IV11" vm="1719">
        <f ca="1"/>
        <v>191.13</v>
      </c>
      <c r="IW11" vm="1720">
        <f ca="1"/>
        <v>185.61</v>
      </c>
      <c r="IX11" vm="1721">
        <f ca="1"/>
        <v>180.34</v>
      </c>
      <c r="IY11" vm="1722">
        <f ca="1"/>
        <v>174.19</v>
      </c>
      <c r="IZ11" vm="1723">
        <f ca="1"/>
        <v>171.88</v>
      </c>
      <c r="JA11" vm="1724">
        <f ca="1"/>
        <v>185.41</v>
      </c>
      <c r="JB11" vm="1725">
        <f ca="1"/>
        <v>190.04</v>
      </c>
      <c r="JC11" vm="1726">
        <f ca="1"/>
        <v>188.54</v>
      </c>
    </row>
    <row r="12" spans="1:265" ht="20" customHeight="1" x14ac:dyDescent="0.2">
      <c r="B12" t="e" vm="1727">
        <v>#VALUE!</v>
      </c>
      <c r="C12" t="str">
        <f ca="1"/>
        <v>Software &amp; IT Services</v>
      </c>
      <c r="D12" t="str">
        <f ca="1"/>
        <v>USD</v>
      </c>
      <c r="E12">
        <v>1</v>
      </c>
      <c r="F12">
        <f ca="1"/>
        <v>165.51</v>
      </c>
      <c r="G12">
        <f ca="1"/>
        <v>165.51</v>
      </c>
      <c r="H12" s="10" cm="1">
        <f t="array" aca="1" ref="H12" ca="1">(F12-IF(C12="USD",_FV( B12,"Clôture précédente",TRUE)*$K$4,_FV( B12,"Clôture précédente",TRUE)))*E12</f>
        <v>-0.49000000000000909</v>
      </c>
      <c r="I12" s="7" cm="1">
        <f t="array" aca="1" ref="I12" ca="1">(F12-_FV(B12,"Clôture précédente",TRUE))/_FV(B12,"Clôture précédente",TRUE)</f>
        <v>-2.9518072289157174E-3</v>
      </c>
      <c r="J12" s="11">
        <f ca="1"/>
        <v>-27.439999999999998</v>
      </c>
      <c r="K12" t="s">
        <v>19</v>
      </c>
      <c r="M12" cm="1" vm="1728">
        <f t="array" aca="1" ref="M12:JC12" ca="1">TRANSPOSE(_xlfn.STOCKHISTORY(B12,TODAY()-365,TODAY(),0,0,1))</f>
        <v>195.49</v>
      </c>
      <c r="N12" vm="1729">
        <f ca="1"/>
        <v>196.73</v>
      </c>
      <c r="O12" vm="1730">
        <f ca="1"/>
        <v>201.88</v>
      </c>
      <c r="P12" vm="1731">
        <f ca="1"/>
        <v>200.03</v>
      </c>
      <c r="Q12" vm="1732">
        <f ca="1"/>
        <v>208.28</v>
      </c>
      <c r="R12" vm="1733">
        <f ca="1"/>
        <v>205.19</v>
      </c>
      <c r="S12" vm="1734">
        <f ca="1"/>
        <v>198.81</v>
      </c>
      <c r="T12" vm="1735">
        <f ca="1"/>
        <v>191.03</v>
      </c>
      <c r="U12" vm="1736">
        <f ca="1"/>
        <v>190.39</v>
      </c>
      <c r="V12" vm="1737">
        <f ca="1"/>
        <v>188.01</v>
      </c>
      <c r="W12" vm="1738">
        <f ca="1"/>
        <v>189.55</v>
      </c>
      <c r="X12" vm="1739">
        <f ca="1"/>
        <v>187.5</v>
      </c>
      <c r="Y12" vm="1740">
        <f ca="1"/>
        <v>190.43</v>
      </c>
      <c r="Z12" vm="1741">
        <f ca="1"/>
        <v>183.68</v>
      </c>
      <c r="AA12" vm="1742">
        <f ca="1"/>
        <v>184.38</v>
      </c>
      <c r="AB12" vm="1743">
        <f ca="1"/>
        <v>184.28</v>
      </c>
      <c r="AC12" vm="1744">
        <f ca="1"/>
        <v>179.33</v>
      </c>
      <c r="AD12" vm="1689">
        <f ca="1"/>
        <v>180.93</v>
      </c>
      <c r="AE12" vm="1745">
        <f ca="1"/>
        <v>173.83</v>
      </c>
      <c r="AF12" vm="1746">
        <f ca="1"/>
        <v>178.93</v>
      </c>
      <c r="AG12" vm="1747">
        <f ca="1"/>
        <v>179.48</v>
      </c>
      <c r="AH12" vm="1748">
        <f ca="1"/>
        <v>176.32</v>
      </c>
      <c r="AI12" vm="1749">
        <f ca="1"/>
        <v>182.34</v>
      </c>
      <c r="AJ12" vm="1750">
        <f ca="1"/>
        <v>185</v>
      </c>
      <c r="AK12" vm="356">
        <f ca="1"/>
        <v>183.1</v>
      </c>
      <c r="AL12" vm="1701">
        <f ca="1"/>
        <v>187.54</v>
      </c>
      <c r="AM12" vm="1751">
        <f ca="1"/>
        <v>184.01</v>
      </c>
      <c r="AN12" vm="1752">
        <f ca="1"/>
        <v>182.32</v>
      </c>
      <c r="AO12" vm="1753">
        <f ca="1"/>
        <v>184.79</v>
      </c>
      <c r="AP12" vm="369">
        <f ca="1"/>
        <v>189.95</v>
      </c>
      <c r="AQ12" vm="1754">
        <f ca="1"/>
        <v>184.96</v>
      </c>
      <c r="AR12" vm="1755">
        <f ca="1"/>
        <v>174.44</v>
      </c>
      <c r="AS12" vm="1756">
        <f ca="1"/>
        <v>172.76</v>
      </c>
      <c r="AT12" vm="1757">
        <f ca="1"/>
        <v>170.64</v>
      </c>
      <c r="AU12" vm="1758">
        <f ca="1"/>
        <v>171.31</v>
      </c>
      <c r="AV12" vm="549">
        <f ca="1"/>
        <v>173.18</v>
      </c>
      <c r="AW12" vm="1759">
        <f ca="1"/>
        <v>165.17</v>
      </c>
      <c r="AX12" vm="1760">
        <f ca="1"/>
        <v>153.57</v>
      </c>
      <c r="AY12" vm="1761">
        <f ca="1"/>
        <v>152.44</v>
      </c>
      <c r="AZ12" vm="1762">
        <f ca="1"/>
        <v>152.53</v>
      </c>
      <c r="BA12" vm="1763">
        <f ca="1"/>
        <v>173.02</v>
      </c>
      <c r="BB12" vm="1764">
        <f ca="1"/>
        <v>168.27</v>
      </c>
      <c r="BC12" vm="1765">
        <f ca="1"/>
        <v>168.34</v>
      </c>
      <c r="BD12" vm="1766">
        <f ca="1"/>
        <v>169.98</v>
      </c>
      <c r="BE12" vm="1767">
        <f ca="1"/>
        <v>173.55</v>
      </c>
      <c r="BF12" vm="1768">
        <f ca="1"/>
        <v>169.76</v>
      </c>
      <c r="BG12" vm="1769">
        <f ca="1"/>
        <v>167.69</v>
      </c>
      <c r="BH12" vm="1770">
        <f ca="1"/>
        <v>160.05000000000001</v>
      </c>
      <c r="BI12" vm="1771">
        <f ca="1"/>
        <v>163.63</v>
      </c>
      <c r="BJ12" vm="1772">
        <f ca="1"/>
        <v>168.32</v>
      </c>
      <c r="BK12" vm="1773">
        <f ca="1"/>
        <v>176.04</v>
      </c>
      <c r="BL12" vm="1774">
        <f ca="1"/>
        <v>178.98</v>
      </c>
      <c r="BM12" vm="1775">
        <f ca="1"/>
        <v>181.54</v>
      </c>
      <c r="BN12" vm="1776">
        <f ca="1"/>
        <v>186.65</v>
      </c>
      <c r="BO12" vm="1777">
        <f ca="1"/>
        <v>186.93</v>
      </c>
      <c r="BP12" vm="1778">
        <f ca="1"/>
        <v>186.27</v>
      </c>
      <c r="BQ12" vm="553">
        <f ca="1"/>
        <v>187.7</v>
      </c>
      <c r="BR12" vm="1779">
        <f ca="1"/>
        <v>188.13</v>
      </c>
      <c r="BS12" vm="1780">
        <f ca="1"/>
        <v>188.69</v>
      </c>
      <c r="BT12" vm="1781">
        <f ca="1"/>
        <v>188.14</v>
      </c>
      <c r="BU12" vm="1782">
        <f ca="1"/>
        <v>188.53</v>
      </c>
      <c r="BV12" vm="1777">
        <f ca="1"/>
        <v>186.93</v>
      </c>
      <c r="BW12" vm="1783">
        <f ca="1"/>
        <v>193.5</v>
      </c>
      <c r="BX12" vm="1784">
        <f ca="1"/>
        <v>192</v>
      </c>
      <c r="BY12" vm="1785">
        <f ca="1"/>
        <v>190.9</v>
      </c>
      <c r="BZ12" vm="1786">
        <f ca="1"/>
        <v>192.9</v>
      </c>
      <c r="CA12" vm="1787">
        <f ca="1"/>
        <v>192.98</v>
      </c>
      <c r="CB12" vm="1788">
        <f ca="1"/>
        <v>194.3</v>
      </c>
      <c r="CC12" vm="1789">
        <f ca="1"/>
        <v>194.48</v>
      </c>
      <c r="CD12" vm="1790">
        <f ca="1"/>
        <v>181.26</v>
      </c>
      <c r="CE12" vm="1791">
        <f ca="1"/>
        <v>186.14</v>
      </c>
      <c r="CF12" vm="1792">
        <f ca="1"/>
        <v>186.75</v>
      </c>
      <c r="CG12" vm="1793">
        <f ca="1"/>
        <v>187.46</v>
      </c>
      <c r="CH12" vm="1794">
        <f ca="1"/>
        <v>187.8</v>
      </c>
      <c r="CI12" vm="1795">
        <f ca="1"/>
        <v>185.82</v>
      </c>
      <c r="CJ12" vm="1796">
        <f ca="1"/>
        <v>192.42</v>
      </c>
      <c r="CK12" vm="1797">
        <f ca="1"/>
        <v>194.86</v>
      </c>
      <c r="CL12" vm="1798">
        <f ca="1"/>
        <v>197.12</v>
      </c>
      <c r="CM12" vm="1799">
        <f ca="1"/>
        <v>194.07</v>
      </c>
      <c r="CN12" vm="1800">
        <f ca="1"/>
        <v>197.11</v>
      </c>
      <c r="CO12" vm="1801">
        <f ca="1"/>
        <v>199.6</v>
      </c>
      <c r="CP12" vm="1802">
        <f ca="1"/>
        <v>196.33</v>
      </c>
      <c r="CQ12" vm="1803">
        <f ca="1"/>
        <v>195.95</v>
      </c>
      <c r="CR12" vm="1804">
        <f ca="1"/>
        <v>194.39</v>
      </c>
      <c r="CS12" vm="1805">
        <f ca="1"/>
        <v>197.67</v>
      </c>
      <c r="CT12" vm="1806">
        <f ca="1"/>
        <v>196.27</v>
      </c>
      <c r="CU12" vm="1807">
        <f ca="1"/>
        <v>198.11</v>
      </c>
      <c r="CV12" vm="1808">
        <f ca="1"/>
        <v>202.05</v>
      </c>
      <c r="CW12" vm="1809">
        <f ca="1"/>
        <v>199.78</v>
      </c>
      <c r="CX12" vm="1810">
        <f ca="1"/>
        <v>199.24</v>
      </c>
      <c r="CY12" vm="1811">
        <f ca="1"/>
        <v>203.32</v>
      </c>
      <c r="CZ12" vm="1812">
        <f ca="1"/>
        <v>201.69</v>
      </c>
      <c r="DA12" vm="1813">
        <f ca="1"/>
        <v>204.3</v>
      </c>
      <c r="DB12" vm="1814">
        <f ca="1"/>
        <v>202.34</v>
      </c>
      <c r="DC12" vm="1815">
        <f ca="1"/>
        <v>200.57</v>
      </c>
      <c r="DD12" vm="1816">
        <f ca="1"/>
        <v>204.64</v>
      </c>
      <c r="DE12" vm="1817">
        <f ca="1"/>
        <v>197.58</v>
      </c>
      <c r="DF12" vm="1818">
        <f ca="1"/>
        <v>196.97</v>
      </c>
      <c r="DG12" vm="1819">
        <f ca="1"/>
        <v>201.82</v>
      </c>
      <c r="DH12" vm="1820">
        <f ca="1"/>
        <v>201.42</v>
      </c>
      <c r="DI12" vm="1821">
        <f ca="1"/>
        <v>203.99</v>
      </c>
      <c r="DJ12" vm="1822">
        <f ca="1"/>
        <v>206.06</v>
      </c>
      <c r="DK12" vm="1823">
        <f ca="1"/>
        <v>192.07</v>
      </c>
      <c r="DL12" vm="554">
        <f ca="1"/>
        <v>187.39</v>
      </c>
      <c r="DM12" vm="1824">
        <f ca="1"/>
        <v>190.72</v>
      </c>
      <c r="DN12" vm="1825">
        <f ca="1"/>
        <v>192.25</v>
      </c>
      <c r="DO12" vm="1826">
        <f ca="1"/>
        <v>192.59</v>
      </c>
      <c r="DP12" vm="1827">
        <f ca="1"/>
        <v>196.28</v>
      </c>
      <c r="DQ12" vm="1828">
        <f ca="1"/>
        <v>195.78</v>
      </c>
      <c r="DR12" vm="1829">
        <f ca="1"/>
        <v>199.88</v>
      </c>
      <c r="DS12" vm="1729">
        <f ca="1"/>
        <v>196.73</v>
      </c>
      <c r="DT12" vm="1830">
        <f ca="1"/>
        <v>199.22</v>
      </c>
      <c r="DU12" vm="1831">
        <f ca="1"/>
        <v>201.16</v>
      </c>
      <c r="DV12" vm="1832">
        <f ca="1"/>
        <v>203.27</v>
      </c>
      <c r="DW12" vm="1833">
        <f ca="1"/>
        <v>204.5</v>
      </c>
      <c r="DX12" vm="1834">
        <f ca="1"/>
        <v>193.84</v>
      </c>
      <c r="DY12" vm="1835">
        <f ca="1"/>
        <v>183.03</v>
      </c>
      <c r="DZ12" vm="1836">
        <f ca="1"/>
        <v>173.6</v>
      </c>
      <c r="EA12" vm="1837">
        <f ca="1"/>
        <v>172.88</v>
      </c>
      <c r="EB12" vm="539">
        <f ca="1"/>
        <v>171</v>
      </c>
      <c r="EC12" vm="1838">
        <f ca="1"/>
        <v>169.09</v>
      </c>
      <c r="ED12" vm="1839">
        <f ca="1"/>
        <v>172.89</v>
      </c>
      <c r="EE12" vm="1840">
        <f ca="1"/>
        <v>168.1</v>
      </c>
      <c r="EF12" vm="1841">
        <f ca="1"/>
        <v>167.06</v>
      </c>
      <c r="EG12" vm="1842">
        <f ca="1"/>
        <v>168.17</v>
      </c>
      <c r="EH12" vm="1617">
        <f ca="1"/>
        <v>175.4</v>
      </c>
      <c r="EI12" vm="1843">
        <f ca="1"/>
        <v>176.86</v>
      </c>
      <c r="EJ12" vm="1767">
        <f ca="1"/>
        <v>173.55</v>
      </c>
      <c r="EK12" vm="1844">
        <f ca="1"/>
        <v>177.09</v>
      </c>
      <c r="EL12" vm="1845">
        <f ca="1"/>
        <v>176.17</v>
      </c>
      <c r="EM12" vm="1846">
        <f ca="1"/>
        <v>181.56</v>
      </c>
      <c r="EN12" vm="1847">
        <f ca="1"/>
        <v>184.43</v>
      </c>
      <c r="EO12" vm="1712">
        <f ca="1"/>
        <v>183.32</v>
      </c>
      <c r="EP12" vm="1848">
        <f ca="1"/>
        <v>185.88</v>
      </c>
      <c r="EQ12" vm="1849">
        <f ca="1"/>
        <v>184.55</v>
      </c>
      <c r="ER12" vm="1850">
        <f ca="1"/>
        <v>184.23</v>
      </c>
      <c r="ES12" vm="1851">
        <f ca="1"/>
        <v>187.61</v>
      </c>
      <c r="ET12" vm="1852">
        <f ca="1"/>
        <v>191.02</v>
      </c>
      <c r="EU12" vm="1853">
        <f ca="1"/>
        <v>190.52</v>
      </c>
      <c r="EV12" vm="1853">
        <f ca="1"/>
        <v>190.52</v>
      </c>
      <c r="EW12" vm="1854">
        <f ca="1"/>
        <v>191.53</v>
      </c>
      <c r="EX12" vm="1855">
        <f ca="1"/>
        <v>192.35</v>
      </c>
      <c r="EY12" vm="1856">
        <f ca="1"/>
        <v>194.46</v>
      </c>
      <c r="EZ12" vm="1857">
        <f ca="1"/>
        <v>197.38</v>
      </c>
      <c r="FA12" vm="1858">
        <f ca="1"/>
        <v>197.55</v>
      </c>
      <c r="FB12" vm="798">
        <f ca="1"/>
        <v>197.33</v>
      </c>
      <c r="FC12" vm="1859">
        <f ca="1"/>
        <v>198.33</v>
      </c>
      <c r="FD12" vm="1860">
        <f ca="1"/>
        <v>196.29</v>
      </c>
      <c r="FE12" vm="1861">
        <f ca="1"/>
        <v>201.28</v>
      </c>
      <c r="FF12" vm="1862">
        <f ca="1"/>
        <v>201.34</v>
      </c>
      <c r="FG12" vm="1863">
        <f ca="1"/>
        <v>203.12</v>
      </c>
      <c r="FH12" vm="1864">
        <f ca="1"/>
        <v>205.68</v>
      </c>
      <c r="FI12" vm="1865">
        <f ca="1"/>
        <v>208.19</v>
      </c>
      <c r="FJ12" vm="1866">
        <f ca="1"/>
        <v>208.18</v>
      </c>
      <c r="FK12" vm="1867">
        <f ca="1"/>
        <v>203.25</v>
      </c>
      <c r="FL12" vm="518">
        <f ca="1"/>
        <v>200.7</v>
      </c>
      <c r="FM12" vm="1868">
        <f ca="1"/>
        <v>202.21</v>
      </c>
      <c r="FN12" vm="1869">
        <f ca="1"/>
        <v>202.37</v>
      </c>
      <c r="FO12" vm="1870">
        <f ca="1"/>
        <v>203.96</v>
      </c>
      <c r="FP12" vm="1871">
        <f ca="1"/>
        <v>203.62</v>
      </c>
      <c r="FQ12" vm="1872">
        <f ca="1"/>
        <v>206.8</v>
      </c>
      <c r="FR12" vm="1873">
        <f ca="1"/>
        <v>209.3</v>
      </c>
      <c r="FS12" vm="1874">
        <f ca="1"/>
        <v>207.19</v>
      </c>
      <c r="FT12" vm="1875">
        <f ca="1"/>
        <v>212.58</v>
      </c>
      <c r="FU12" vm="1876">
        <f ca="1"/>
        <v>211.04</v>
      </c>
      <c r="FV12" vm="1877">
        <f ca="1"/>
        <v>217.79</v>
      </c>
      <c r="FW12" vm="1878">
        <f ca="1"/>
        <v>215.17</v>
      </c>
      <c r="FX12" vm="1879">
        <f ca="1"/>
        <v>208.55</v>
      </c>
      <c r="FY12" vm="1880">
        <f ca="1"/>
        <v>213.28</v>
      </c>
      <c r="FZ12" vm="1881">
        <f ca="1"/>
        <v>207.56</v>
      </c>
      <c r="GA12" vm="1882">
        <f ca="1"/>
        <v>206.7</v>
      </c>
      <c r="GB12" vm="1883">
        <f ca="1"/>
        <v>205.51</v>
      </c>
      <c r="GC12" vm="1884">
        <f ca="1"/>
        <v>207.89</v>
      </c>
      <c r="GD12" vm="1885">
        <f ca="1"/>
        <v>211.82</v>
      </c>
      <c r="GE12" vm="1886">
        <f ca="1"/>
        <v>214.4</v>
      </c>
      <c r="GF12" vm="1887">
        <f ca="1"/>
        <v>212.42</v>
      </c>
      <c r="GG12" vm="1888">
        <f ca="1"/>
        <v>215.02</v>
      </c>
      <c r="GH12" vm="1889">
        <f ca="1"/>
        <v>217.11</v>
      </c>
      <c r="GI12" vm="1890">
        <f ca="1"/>
        <v>220.29</v>
      </c>
      <c r="GJ12" vm="1891">
        <f ca="1"/>
        <v>221.38</v>
      </c>
      <c r="GK12" vm="1892">
        <f ca="1"/>
        <v>217.16</v>
      </c>
      <c r="GL12" vm="1893">
        <f ca="1"/>
        <v>218.27</v>
      </c>
      <c r="GM12" vm="1894">
        <f ca="1"/>
        <v>220.24</v>
      </c>
      <c r="GN12" vm="1895">
        <f ca="1"/>
        <v>219.23</v>
      </c>
      <c r="GO12" vm="1896">
        <f ca="1"/>
        <v>214.52</v>
      </c>
      <c r="GP12" vm="1897">
        <f ca="1"/>
        <v>213.18</v>
      </c>
      <c r="GQ12" vm="564">
        <f ca="1"/>
        <v>211.37</v>
      </c>
      <c r="GR12" vm="1898">
        <f ca="1"/>
        <v>212.285</v>
      </c>
      <c r="GS12" vm="1899">
        <f ca="1"/>
        <v>216.54</v>
      </c>
      <c r="GT12" vm="1893">
        <f ca="1"/>
        <v>218.27</v>
      </c>
      <c r="GU12" vm="1900">
        <f ca="1"/>
        <v>210.04</v>
      </c>
      <c r="GV12" vm="1901">
        <f ca="1"/>
        <v>204.77</v>
      </c>
      <c r="GW12" vm="1902">
        <f ca="1"/>
        <v>205.25</v>
      </c>
      <c r="GX12" vm="1903">
        <f ca="1"/>
        <v>202.9</v>
      </c>
      <c r="GY12" vm="1904">
        <f ca="1"/>
        <v>201</v>
      </c>
      <c r="GZ12" vm="1905">
        <f ca="1"/>
        <v>199.9</v>
      </c>
      <c r="HA12" vm="1906">
        <f ca="1"/>
        <v>185.07</v>
      </c>
      <c r="HB12" vm="1907">
        <f ca="1"/>
        <v>182.9</v>
      </c>
      <c r="HC12" vm="1908">
        <f ca="1"/>
        <v>183.89</v>
      </c>
      <c r="HD12" vm="1778">
        <f ca="1"/>
        <v>186.27</v>
      </c>
      <c r="HE12" vm="1909">
        <f ca="1"/>
        <v>185.35</v>
      </c>
      <c r="HF12" vm="1910">
        <f ca="1"/>
        <v>190.13</v>
      </c>
      <c r="HG12" vm="1911">
        <f ca="1"/>
        <v>187.73</v>
      </c>
      <c r="HH12" vm="1912">
        <f ca="1"/>
        <v>189.88</v>
      </c>
      <c r="HI12" vm="1913">
        <f ca="1"/>
        <v>193.63</v>
      </c>
      <c r="HJ12" vm="1914">
        <f ca="1"/>
        <v>195.68</v>
      </c>
      <c r="HK12" vm="1915">
        <f ca="1"/>
        <v>198.84</v>
      </c>
      <c r="HL12" vm="1916">
        <f ca="1"/>
        <v>195.35</v>
      </c>
      <c r="HM12" vm="1917">
        <f ca="1"/>
        <v>195</v>
      </c>
      <c r="HN12" vm="1918">
        <f ca="1"/>
        <v>192.96</v>
      </c>
      <c r="HO12" vm="1919">
        <f ca="1"/>
        <v>190.36</v>
      </c>
      <c r="HP12" vm="1920">
        <f ca="1"/>
        <v>191.69</v>
      </c>
      <c r="HQ12" vm="1848">
        <f ca="1"/>
        <v>185.88</v>
      </c>
      <c r="HR12" vm="1921">
        <f ca="1"/>
        <v>187.09</v>
      </c>
      <c r="HS12" vm="1922">
        <f ca="1"/>
        <v>183.44</v>
      </c>
      <c r="HT12" vm="1848">
        <f ca="1"/>
        <v>185.88</v>
      </c>
      <c r="HU12" vm="1923">
        <f ca="1"/>
        <v>186.88</v>
      </c>
      <c r="HV12" vm="1924">
        <f ca="1"/>
        <v>189.49</v>
      </c>
      <c r="HW12" vm="1704">
        <f ca="1"/>
        <v>188.12</v>
      </c>
      <c r="HX12" vm="1925">
        <f ca="1"/>
        <v>187.22</v>
      </c>
      <c r="HY12" vm="1926">
        <f ca="1"/>
        <v>188.45</v>
      </c>
      <c r="HZ12" vm="1927">
        <f ca="1"/>
        <v>186.85</v>
      </c>
      <c r="IA12" vm="1927">
        <f ca="1"/>
        <v>186.85</v>
      </c>
      <c r="IB12" vm="1928">
        <f ca="1"/>
        <v>184.2</v>
      </c>
      <c r="IC12" vm="1929">
        <f ca="1"/>
        <v>179.37</v>
      </c>
      <c r="ID12" vm="545">
        <f ca="1"/>
        <v>182.12</v>
      </c>
      <c r="IE12" vm="1930">
        <f ca="1"/>
        <v>185.86</v>
      </c>
      <c r="IF12" vm="1931">
        <f ca="1"/>
        <v>193.9</v>
      </c>
      <c r="IG12" vm="1932">
        <f ca="1"/>
        <v>190.8</v>
      </c>
      <c r="IH12" vm="1933">
        <f ca="1"/>
        <v>189.02</v>
      </c>
      <c r="II12" vm="1934">
        <f ca="1"/>
        <v>188.88</v>
      </c>
      <c r="IJ12" vm="1935">
        <f ca="1"/>
        <v>190.85</v>
      </c>
      <c r="IK12" vm="1936">
        <f ca="1"/>
        <v>190.93</v>
      </c>
      <c r="IL12" vm="1911">
        <f ca="1"/>
        <v>187.73</v>
      </c>
      <c r="IM12" vm="1937">
        <f ca="1"/>
        <v>187.66</v>
      </c>
      <c r="IN12" vm="1938">
        <f ca="1"/>
        <v>184.06</v>
      </c>
      <c r="IO12" vm="1939">
        <f ca="1"/>
        <v>181.47</v>
      </c>
      <c r="IP12" vm="1940">
        <f ca="1"/>
        <v>182.27</v>
      </c>
      <c r="IQ12" vm="1941">
        <f ca="1"/>
        <v>180.18</v>
      </c>
      <c r="IR12" vm="1942">
        <f ca="1"/>
        <v>184.22</v>
      </c>
      <c r="IS12" vm="1943">
        <f ca="1"/>
        <v>183.5</v>
      </c>
      <c r="IT12" vm="1944">
        <f ca="1"/>
        <v>183.74</v>
      </c>
      <c r="IU12" vm="1945">
        <f ca="1"/>
        <v>176.2</v>
      </c>
      <c r="IV12" vm="336">
        <f ca="1"/>
        <v>176.97</v>
      </c>
      <c r="IW12" vm="1946">
        <f ca="1"/>
        <v>175.42</v>
      </c>
      <c r="IX12" vm="1947">
        <f ca="1"/>
        <v>166.24</v>
      </c>
      <c r="IY12" vm="1948">
        <f ca="1"/>
        <v>166.72</v>
      </c>
      <c r="IZ12" vm="1949">
        <f ca="1"/>
        <v>154.77000000000001</v>
      </c>
      <c r="JA12" vm="1950">
        <f ca="1"/>
        <v>159.32</v>
      </c>
      <c r="JB12" vm="1951">
        <f ca="1"/>
        <v>166</v>
      </c>
      <c r="JC12" vm="1952">
        <f ca="1"/>
        <v>165.51</v>
      </c>
    </row>
    <row r="13" spans="1:265" ht="20" customHeight="1" x14ac:dyDescent="0.2">
      <c r="B13" t="e" vm="1953">
        <v>#VALUE!</v>
      </c>
      <c r="C13" t="str">
        <f ca="1"/>
        <v>Software &amp; IT Services</v>
      </c>
      <c r="D13" t="str">
        <f ca="1"/>
        <v>USD</v>
      </c>
      <c r="E13">
        <v>1.9</v>
      </c>
      <c r="F13">
        <f ca="1"/>
        <v>210.71</v>
      </c>
      <c r="G13">
        <f ca="1"/>
        <v>400.34899999999999</v>
      </c>
      <c r="H13" s="10" cm="1">
        <f t="array" aca="1" ref="H13" ca="1">(F13-IF(C13="USD",_FV( B13,"Clôture précédente",TRUE)*$K$4,_FV( B13,"Clôture précédente",TRUE)))*E13</f>
        <v>10.792000000000012</v>
      </c>
      <c r="I13" s="7" cm="1">
        <f t="array" aca="1" ref="I13" ca="1">(F13-_FV(B13,"Clôture précédente",TRUE))/_FV(B13,"Clôture précédente",TRUE)</f>
        <v>2.7703262937131184E-2</v>
      </c>
      <c r="J13">
        <f ca="1"/>
        <v>22.319000000000017</v>
      </c>
      <c r="K13" t="s">
        <v>19</v>
      </c>
    </row>
    <row r="14" spans="1:265" x14ac:dyDescent="0.2">
      <c r="B14" s="20" t="s">
        <v>25</v>
      </c>
      <c r="C14" s="19"/>
      <c r="D14" s="19"/>
      <c r="E14" s="19"/>
      <c r="F14" s="19"/>
      <c r="G14" s="19"/>
      <c r="H14" s="19"/>
      <c r="I14" s="19"/>
      <c r="J14" s="19" t="s">
        <v>19</v>
      </c>
      <c r="K14" s="19"/>
    </row>
    <row r="15" spans="1:265" x14ac:dyDescent="0.2">
      <c r="B15" s="6" t="s">
        <v>14</v>
      </c>
      <c r="C15" s="6" t="s">
        <v>16</v>
      </c>
      <c r="D15" s="6"/>
      <c r="E15" s="6"/>
      <c r="F15" s="6"/>
      <c r="G15" s="6"/>
      <c r="H15" s="6"/>
      <c r="I15" s="6"/>
      <c r="J15" s="6"/>
      <c r="K15" s="6"/>
      <c r="N15" t="s">
        <v>19</v>
      </c>
    </row>
    <row r="16" spans="1:265" ht="30" customHeight="1" x14ac:dyDescent="0.2">
      <c r="B16" t="str" cm="1">
        <f t="array" aca="1" ref="B16:B20" ca="1">_xlfn.UNIQUE(_xlfn.ANCHORARRAY(C6))</f>
        <v>Software &amp; IT Services</v>
      </c>
      <c r="C16" s="8" cm="1">
        <f t="array" aca="1" ref="C16:C20" ca="1">SUMIF(_xlfn.ANCHORARRAY(C6),_xlfn.ANCHORARRAY(B16),_xlfn.ANCHORARRAY(G6))</f>
        <v>857.0230939999999</v>
      </c>
    </row>
    <row r="17" spans="2:3" ht="30" customHeight="1" x14ac:dyDescent="0.2">
      <c r="B17" t="str">
        <f ca="1"/>
        <v>Diversified Retail</v>
      </c>
      <c r="C17" s="8">
        <f ca="1"/>
        <v>43.461599999999997</v>
      </c>
    </row>
    <row r="18" spans="2:3" ht="30" customHeight="1" x14ac:dyDescent="0.2">
      <c r="B18" t="str">
        <f ca="1"/>
        <v>Semiconductors &amp; Semiconductor Equipment</v>
      </c>
      <c r="C18" s="8">
        <f ca="1"/>
        <v>717.52</v>
      </c>
    </row>
    <row r="19" spans="2:3" ht="30" customHeight="1" x14ac:dyDescent="0.2">
      <c r="B19" t="str">
        <f ca="1"/>
        <v>ETF</v>
      </c>
      <c r="C19" s="8">
        <f ca="1"/>
        <v>1430.4263040000001</v>
      </c>
    </row>
    <row r="20" spans="2:3" ht="30" customHeight="1" x14ac:dyDescent="0.2">
      <c r="B20" t="str">
        <f ca="1"/>
        <v>Banking Services</v>
      </c>
      <c r="C20" s="8">
        <f ca="1"/>
        <v>318.27999999999997</v>
      </c>
    </row>
  </sheetData>
  <conditionalFormatting sqref="C16:C20">
    <cfRule type="dataBar" priority="1">
      <dataBar>
        <cfvo type="min"/>
        <cfvo type="max"/>
        <color rgb="FF638EC6"/>
      </dataBar>
      <extLst>
        <ext xmlns:x14="http://schemas.microsoft.com/office/spreadsheetml/2009/9/main" uri="{B025F937-C7B1-47D3-B67F-A62EFF666E3E}">
          <x14:id>{E9969F80-4595-9C43-B010-A0ACC7DC6298}</x14:id>
        </ext>
      </extLst>
    </cfRule>
  </conditionalFormatting>
  <conditionalFormatting sqref="G6:G12">
    <cfRule type="dataBar" priority="3">
      <dataBar>
        <cfvo type="min"/>
        <cfvo type="max"/>
        <color rgb="FF638EC6"/>
      </dataBar>
      <extLst>
        <ext xmlns:x14="http://schemas.microsoft.com/office/spreadsheetml/2009/9/main" uri="{B025F937-C7B1-47D3-B67F-A62EFF666E3E}">
          <x14:id>{54D51DE3-8D16-9549-B6A7-3F87F7BE53B7}</x14:id>
        </ext>
      </extLst>
    </cfRule>
  </conditionalFormatting>
  <pageMargins left="0.7" right="0.7" top="0.75" bottom="0.75" header="0.3" footer="0.3"/>
  <pageSetup paperSize="9" orientation="portrait" horizontalDpi="0" verticalDpi="0"/>
  <drawing r:id="rId1"/>
  <extLst>
    <ext xmlns:x14="http://schemas.microsoft.com/office/spreadsheetml/2009/9/main" uri="{78C0D931-6437-407d-A8EE-F0AAD7539E65}">
      <x14:conditionalFormattings>
        <x14:conditionalFormatting xmlns:xm="http://schemas.microsoft.com/office/excel/2006/main">
          <x14:cfRule type="dataBar" id="{E9969F80-4595-9C43-B010-A0ACC7DC6298}">
            <x14:dataBar minLength="0" maxLength="100" border="1" negativeBarBorderColorSameAsPositive="0">
              <x14:cfvo type="autoMin"/>
              <x14:cfvo type="autoMax"/>
              <x14:borderColor rgb="FF638EC6"/>
              <x14:negativeFillColor rgb="FFFF0000"/>
              <x14:negativeBorderColor rgb="FFFF0000"/>
              <x14:axisColor rgb="FF000000"/>
            </x14:dataBar>
          </x14:cfRule>
          <xm:sqref>C16:C20</xm:sqref>
        </x14:conditionalFormatting>
        <x14:conditionalFormatting xmlns:xm="http://schemas.microsoft.com/office/excel/2006/main">
          <x14:cfRule type="dataBar" id="{54D51DE3-8D16-9549-B6A7-3F87F7BE53B7}">
            <x14:dataBar minLength="0" maxLength="100" border="1" negativeBarBorderColorSameAsPositive="0">
              <x14:cfvo type="autoMin"/>
              <x14:cfvo type="autoMax"/>
              <x14:borderColor rgb="FF638EC6"/>
              <x14:negativeFillColor rgb="FFFF0000"/>
              <x14:negativeBorderColor rgb="FFFF0000"/>
              <x14:axisColor theme="7" tint="0.39997558519241921"/>
            </x14:dataBar>
          </x14:cfRule>
          <xm:sqref>G6:G12</xm:sqref>
        </x14:conditionalFormatting>
        <x14:conditionalFormatting xmlns:xm="http://schemas.microsoft.com/office/excel/2006/main">
          <x14:cfRule type="iconSet" priority="6" id="{410AB342-00C4-7749-BF9A-0B61C0F1D2BA}">
            <x14:iconSet iconSet="3Triangles" custom="1">
              <x14:cfvo type="percent">
                <xm:f>0</xm:f>
              </x14:cfvo>
              <x14:cfvo type="num">
                <xm:f>0</xm:f>
              </x14:cfvo>
              <x14:cfvo type="num" gte="0">
                <xm:f>0</xm:f>
              </x14:cfvo>
              <x14:cfIcon iconSet="3Triangles" iconId="0"/>
              <x14:cfIcon iconSet="3Triangles" iconId="1"/>
              <x14:cfIcon iconSet="3Triangles" iconId="2"/>
            </x14:iconSet>
          </x14:cfRule>
          <xm:sqref>I2</xm:sqref>
        </x14:conditionalFormatting>
        <x14:conditionalFormatting xmlns:xm="http://schemas.microsoft.com/office/excel/2006/main">
          <x14:cfRule type="iconSet" priority="5" id="{78842702-0906-4D42-A9E0-94E1F5E7C464}">
            <x14:iconSet iconSet="3Triangles" custom="1">
              <x14:cfvo type="percent">
                <xm:f>0</xm:f>
              </x14:cfvo>
              <x14:cfvo type="num">
                <xm:f>0</xm:f>
              </x14:cfvo>
              <x14:cfvo type="num">
                <xm:f>0</xm:f>
              </x14:cfvo>
              <x14:cfIcon iconSet="3Triangles" iconId="0"/>
              <x14:cfIcon iconSet="3Triangles" iconId="1"/>
              <x14:cfIcon iconSet="3Triangles" iconId="2"/>
            </x14:iconSet>
          </x14:cfRule>
          <xm:sqref>I6:I13</xm:sqref>
        </x14:conditionalFormatting>
      </x14:conditionalFormattings>
    </ext>
    <ext xmlns:x14="http://schemas.microsoft.com/office/spreadsheetml/2009/9/main" uri="{05C60535-1F16-4fd2-B633-F4F36F0B64E0}">
      <x14:sparklineGroups xmlns:xm="http://schemas.microsoft.com/office/excel/2006/main">
        <x14:sparklineGroup lineWeight="1" displayEmptyCellsAs="gap" xr2:uid="{5E843A5A-7442-0E40-BD15-680AF6012DA0}">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Dashboard!M6:JF6</xm:f>
              <xm:sqref>K6</xm:sqref>
            </x14:sparkline>
            <x14:sparkline>
              <xm:f>Dashboard!M7:JF7</xm:f>
              <xm:sqref>K7</xm:sqref>
            </x14:sparkline>
            <x14:sparkline>
              <xm:f>Dashboard!M8:JF8</xm:f>
              <xm:sqref>K8</xm:sqref>
            </x14:sparkline>
            <x14:sparkline>
              <xm:f>Dashboard!M9:JF9</xm:f>
              <xm:sqref>K9</xm:sqref>
            </x14:sparkline>
            <x14:sparkline>
              <xm:f>Dashboard!M10:JF10</xm:f>
              <xm:sqref>K10</xm:sqref>
            </x14:sparkline>
            <x14:sparkline>
              <xm:f>Dashboard!M11:JF11</xm:f>
              <xm:sqref>K11</xm:sqref>
            </x14:sparkline>
            <x14:sparkline>
              <xm:f>Dashboard!M12:JF12</xm:f>
              <xm:sqref>K12</xm:sqref>
            </x14:sparkline>
            <x14:sparkline>
              <xm:f>Dashboard!M13:JF13</xm:f>
              <xm:sqref>K13</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C4EA0-60CF-6E4E-AB2E-98D6775095B0}">
  <dimension ref="A2:L35"/>
  <sheetViews>
    <sheetView showGridLines="0" topLeftCell="A17" zoomScale="116" workbookViewId="0">
      <selection activeCell="H38" sqref="H38"/>
    </sheetView>
  </sheetViews>
  <sheetFormatPr baseColWidth="10" defaultRowHeight="16" x14ac:dyDescent="0.2"/>
  <cols>
    <col min="2" max="2" width="48.5" bestFit="1" customWidth="1"/>
    <col min="3" max="3" width="13.1640625" customWidth="1"/>
    <col min="5" max="5" width="10.83203125" customWidth="1"/>
    <col min="6" max="7" width="11" customWidth="1"/>
    <col min="8" max="8" width="20" customWidth="1"/>
  </cols>
  <sheetData>
    <row r="2" spans="1:12" ht="17" thickBot="1" x14ac:dyDescent="0.25"/>
    <row r="3" spans="1:12" x14ac:dyDescent="0.2">
      <c r="A3" t="s">
        <v>0</v>
      </c>
      <c r="B3" t="s">
        <v>1</v>
      </c>
      <c r="C3" t="s">
        <v>2</v>
      </c>
      <c r="D3" t="s">
        <v>3</v>
      </c>
      <c r="E3" t="s">
        <v>4</v>
      </c>
      <c r="F3" t="s">
        <v>5</v>
      </c>
      <c r="G3" t="s">
        <v>23</v>
      </c>
      <c r="H3" t="s">
        <v>6</v>
      </c>
      <c r="I3" t="s">
        <v>11</v>
      </c>
      <c r="K3" s="21" t="e" vm="1">
        <v>#VALUE!</v>
      </c>
      <c r="L3" s="22" cm="1">
        <f t="array" aca="1" ref="L3" ca="1">_FV(K3,"Prix")</f>
        <v>1.1908000000000001</v>
      </c>
    </row>
    <row r="4" spans="1:12" ht="17" thickBot="1" x14ac:dyDescent="0.25">
      <c r="A4" s="3">
        <f>DATE(2025,1,28)</f>
        <v>45685</v>
      </c>
      <c r="B4" t="e" vm="1486">
        <v>#VALUE!</v>
      </c>
      <c r="C4" t="s">
        <v>7</v>
      </c>
      <c r="D4">
        <v>0.25</v>
      </c>
      <c r="E4">
        <v>119.64</v>
      </c>
      <c r="F4" t="s">
        <v>9</v>
      </c>
      <c r="G4">
        <f t="shared" ref="G4:G10" si="0">IF(F4="EUR",1,$K$4)</f>
        <v>1</v>
      </c>
      <c r="H4">
        <v>31</v>
      </c>
      <c r="I4" t="str" cm="1">
        <f t="array" aca="1" ref="I4" ca="1">_FV(Ledger[ [#This Row],[Stock] ],"Code mnémonique",TRUE)</f>
        <v>NVDA</v>
      </c>
      <c r="K4" s="23">
        <f ca="1">1/L3</f>
        <v>0.83977158212966063</v>
      </c>
      <c r="L4" s="24"/>
    </row>
    <row r="5" spans="1:12" x14ac:dyDescent="0.2">
      <c r="A5" s="3">
        <f>DATE(2025,2,3)</f>
        <v>45691</v>
      </c>
      <c r="B5" t="e" vm="994">
        <v>#VALUE!</v>
      </c>
      <c r="C5" t="s">
        <v>7</v>
      </c>
      <c r="D5">
        <v>7.0000000000000007E-2</v>
      </c>
      <c r="E5">
        <v>616.14</v>
      </c>
      <c r="F5" t="s">
        <v>9</v>
      </c>
      <c r="G5">
        <f t="shared" si="0"/>
        <v>1</v>
      </c>
      <c r="H5">
        <v>50</v>
      </c>
      <c r="I5" t="str" cm="1">
        <f t="array" aca="1" ref="I5" ca="1">_FV(Ledger[ [#This Row],[Stock] ],"Code mnémonique",TRUE)</f>
        <v>SXR8</v>
      </c>
    </row>
    <row r="6" spans="1:12" x14ac:dyDescent="0.2">
      <c r="A6" s="3">
        <f>DATE(2025,2,3)</f>
        <v>45691</v>
      </c>
      <c r="B6" t="e" vm="501">
        <v>#VALUE!</v>
      </c>
      <c r="C6" t="s">
        <v>7</v>
      </c>
      <c r="D6">
        <v>0.21</v>
      </c>
      <c r="E6">
        <v>227.1</v>
      </c>
      <c r="F6" t="s">
        <v>9</v>
      </c>
      <c r="G6">
        <f t="shared" si="0"/>
        <v>1</v>
      </c>
      <c r="H6">
        <v>50</v>
      </c>
      <c r="I6" t="str" cm="1">
        <f t="array" aca="1" ref="I6" ca="1">_FV(Ledger[ [#This Row],[Stock] ],"Code mnémonique",TRUE)</f>
        <v>AMZN</v>
      </c>
    </row>
    <row r="7" spans="1:12" x14ac:dyDescent="0.2">
      <c r="A7" s="3">
        <f>DATE(2025,2,4)</f>
        <v>45692</v>
      </c>
      <c r="B7" t="e" vm="1486">
        <v>#VALUE!</v>
      </c>
      <c r="C7" t="s">
        <v>7</v>
      </c>
      <c r="D7">
        <v>0.42</v>
      </c>
      <c r="E7">
        <v>113.64</v>
      </c>
      <c r="F7" t="s">
        <v>9</v>
      </c>
      <c r="G7">
        <f t="shared" si="0"/>
        <v>1</v>
      </c>
      <c r="H7">
        <v>49.01</v>
      </c>
      <c r="I7" t="str" cm="1">
        <f t="array" aca="1" ref="I7" ca="1">_FV(Ledger[ [#This Row],[Stock] ],"Code mnémonique",TRUE)</f>
        <v>NVDA</v>
      </c>
    </row>
    <row r="8" spans="1:12" x14ac:dyDescent="0.2">
      <c r="A8" s="3">
        <f>DATE(2025,2,6)</f>
        <v>45694</v>
      </c>
      <c r="B8" t="e" vm="1953">
        <v>#VALUE!</v>
      </c>
      <c r="C8" t="s">
        <v>7</v>
      </c>
      <c r="D8">
        <v>0.27</v>
      </c>
      <c r="E8">
        <v>182.98</v>
      </c>
      <c r="F8" t="s">
        <v>9</v>
      </c>
      <c r="G8">
        <f t="shared" si="0"/>
        <v>1</v>
      </c>
      <c r="H8">
        <v>50</v>
      </c>
      <c r="I8" t="str" cm="1">
        <f t="array" aca="1" ref="I8" ca="1">_FV(Ledger[ [#This Row],[Stock] ],"Code mnémonique",TRUE)</f>
        <v>TTWO</v>
      </c>
    </row>
    <row r="9" spans="1:12" x14ac:dyDescent="0.2">
      <c r="A9" s="3">
        <f>DATE(2025,2,6)</f>
        <v>45694</v>
      </c>
      <c r="B9" t="e" vm="1953">
        <v>#VALUE!</v>
      </c>
      <c r="C9" t="s">
        <v>7</v>
      </c>
      <c r="D9">
        <v>0.63</v>
      </c>
      <c r="E9">
        <v>189.72</v>
      </c>
      <c r="F9" t="s">
        <v>9</v>
      </c>
      <c r="G9">
        <f t="shared" si="0"/>
        <v>1</v>
      </c>
      <c r="H9">
        <v>121</v>
      </c>
      <c r="I9" t="str" cm="1">
        <f t="array" aca="1" ref="I9" ca="1">_FV(Ledger[ [#This Row],[Stock] ],"Code mnémonique",TRUE)</f>
        <v>TTWO</v>
      </c>
    </row>
    <row r="10" spans="1:12" x14ac:dyDescent="0.2">
      <c r="A10" s="3">
        <f>DATE(2025,2,17)</f>
        <v>45705</v>
      </c>
      <c r="B10" t="e" vm="1954">
        <v>#VALUE!</v>
      </c>
      <c r="C10" t="s">
        <v>7</v>
      </c>
      <c r="D10">
        <v>5</v>
      </c>
      <c r="E10">
        <v>5.53</v>
      </c>
      <c r="F10" t="s">
        <v>9</v>
      </c>
      <c r="G10">
        <f t="shared" si="0"/>
        <v>1</v>
      </c>
      <c r="H10">
        <v>28.65</v>
      </c>
      <c r="I10" t="str" cm="1">
        <f t="array" aca="1" ref="I10" ca="1">_FV(Ledger[ [#This Row],[Stock] ],"Code mnémonique",TRUE)</f>
        <v>3CP</v>
      </c>
    </row>
    <row r="11" spans="1:12" x14ac:dyDescent="0.2">
      <c r="A11" s="3">
        <f>DATE(2025,3,5)</f>
        <v>45721</v>
      </c>
      <c r="B11" t="e" vm="1953">
        <v>#VALUE!</v>
      </c>
      <c r="C11" t="s">
        <v>7</v>
      </c>
      <c r="D11">
        <v>0.5</v>
      </c>
      <c r="E11">
        <v>197.58</v>
      </c>
      <c r="F11" t="s">
        <v>9</v>
      </c>
      <c r="G11">
        <f t="shared" ref="G11:G23" si="1">IF(F11="EUR",1,$K$4)</f>
        <v>1</v>
      </c>
      <c r="H11">
        <v>100</v>
      </c>
      <c r="I11" t="str" cm="1">
        <f t="array" aca="1" ref="I11" ca="1">_FV(Ledger[ [#This Row],[Stock] ],"Code mnémonique",TRUE)</f>
        <v>TTWO</v>
      </c>
    </row>
    <row r="12" spans="1:12" x14ac:dyDescent="0.2">
      <c r="A12" s="3">
        <f>DATE(2025,3,5)</f>
        <v>45721</v>
      </c>
      <c r="B12" t="e" vm="994">
        <v>#VALUE!</v>
      </c>
      <c r="C12" t="s">
        <v>7</v>
      </c>
      <c r="D12">
        <v>0.08</v>
      </c>
      <c r="E12">
        <v>578.1</v>
      </c>
      <c r="F12" t="s">
        <v>9</v>
      </c>
      <c r="G12">
        <f t="shared" si="1"/>
        <v>1</v>
      </c>
      <c r="H12">
        <v>52</v>
      </c>
      <c r="I12" t="str" cm="1">
        <f t="array" aca="1" ref="I12" ca="1">_FV(Ledger[ [#This Row],[Stock] ],"Code mnémonique",TRUE)</f>
        <v>SXR8</v>
      </c>
    </row>
    <row r="13" spans="1:12" x14ac:dyDescent="0.2">
      <c r="A13" s="3">
        <f>DATE(2025,4,7)</f>
        <v>45754</v>
      </c>
      <c r="B13" t="e" vm="1955">
        <v>#VALUE!</v>
      </c>
      <c r="C13" t="s">
        <v>7</v>
      </c>
      <c r="D13">
        <v>1</v>
      </c>
      <c r="E13">
        <v>65.900000000000006</v>
      </c>
      <c r="F13" t="s">
        <v>9</v>
      </c>
      <c r="G13">
        <f t="shared" si="1"/>
        <v>1</v>
      </c>
      <c r="H13">
        <v>65.900000000000006</v>
      </c>
      <c r="I13" t="str" cm="1">
        <f t="array" aca="1" ref="I13" ca="1">_FV(Ledger[ [#This Row],[Stock] ],"Code mnémonique",TRUE)</f>
        <v>BNP</v>
      </c>
    </row>
    <row r="14" spans="1:12" x14ac:dyDescent="0.2">
      <c r="A14" s="3">
        <f>DATE(2025,4,7)</f>
        <v>45754</v>
      </c>
      <c r="B14" t="e" vm="1954">
        <v>#VALUE!</v>
      </c>
      <c r="C14" t="s">
        <v>7</v>
      </c>
      <c r="D14">
        <v>2</v>
      </c>
      <c r="E14">
        <v>4.41</v>
      </c>
      <c r="F14" t="s">
        <v>9</v>
      </c>
      <c r="G14">
        <f t="shared" si="1"/>
        <v>1</v>
      </c>
      <c r="H14">
        <v>9.83</v>
      </c>
      <c r="I14" t="str" cm="1">
        <f t="array" aca="1" ref="I14" ca="1">_FV(Ledger[ [#This Row],[Stock] ],"Code mnémonique",TRUE)</f>
        <v>3CP</v>
      </c>
    </row>
    <row r="15" spans="1:12" x14ac:dyDescent="0.2">
      <c r="A15" s="3">
        <f>DATE(2025,4,17)</f>
        <v>45764</v>
      </c>
      <c r="B15" t="e" vm="1956">
        <v>#VALUE!</v>
      </c>
      <c r="C15" t="s">
        <v>7</v>
      </c>
      <c r="D15">
        <v>0.35</v>
      </c>
      <c r="E15">
        <v>56.82</v>
      </c>
      <c r="F15" t="s">
        <v>9</v>
      </c>
      <c r="G15">
        <f t="shared" si="1"/>
        <v>1</v>
      </c>
      <c r="H15">
        <v>21</v>
      </c>
      <c r="I15" t="str" cm="1">
        <f t="array" aca="1" ref="I15" ca="1">_FV(Ledger[ [#This Row],[Stock] ],"Code mnémonique",TRUE)</f>
        <v>PPFB</v>
      </c>
    </row>
    <row r="16" spans="1:12" x14ac:dyDescent="0.2">
      <c r="A16" s="3">
        <f t="shared" ref="A16:A18" si="2">DATE(2025,7,15)</f>
        <v>45853</v>
      </c>
      <c r="B16" t="e" vm="1954">
        <v>#VALUE!</v>
      </c>
      <c r="C16" t="s">
        <v>8</v>
      </c>
      <c r="D16">
        <v>-7</v>
      </c>
      <c r="E16">
        <v>6.2</v>
      </c>
      <c r="F16" t="s">
        <v>9</v>
      </c>
      <c r="G16">
        <f t="shared" si="1"/>
        <v>1</v>
      </c>
      <c r="H16">
        <f>-42.42</f>
        <v>-42.42</v>
      </c>
      <c r="I16" t="str" cm="1">
        <f t="array" aca="1" ref="I16" ca="1">_FV(Ledger[ [#This Row],[Stock] ],"Code mnémonique",TRUE)</f>
        <v>3CP</v>
      </c>
    </row>
    <row r="17" spans="1:9" x14ac:dyDescent="0.2">
      <c r="A17" s="3">
        <f t="shared" si="2"/>
        <v>45853</v>
      </c>
      <c r="B17" t="e" vm="1486">
        <v>#VALUE!</v>
      </c>
      <c r="C17" t="s">
        <v>8</v>
      </c>
      <c r="D17">
        <v>-0.67</v>
      </c>
      <c r="E17">
        <v>145.80000000000001</v>
      </c>
      <c r="F17" t="s">
        <v>9</v>
      </c>
      <c r="G17">
        <f t="shared" si="1"/>
        <v>1</v>
      </c>
      <c r="H17">
        <v>-97.15</v>
      </c>
      <c r="I17" t="str" cm="1">
        <f t="array" aca="1" ref="I17" ca="1">_FV(Ledger[ [#This Row],[Stock] ],"Code mnémonique",TRUE)</f>
        <v>NVDA</v>
      </c>
    </row>
    <row r="18" spans="1:9" x14ac:dyDescent="0.2">
      <c r="A18" s="3">
        <f t="shared" si="2"/>
        <v>45853</v>
      </c>
      <c r="B18" t="e" vm="1486">
        <v>#VALUE!</v>
      </c>
      <c r="C18" t="s">
        <v>7</v>
      </c>
      <c r="D18">
        <v>1</v>
      </c>
      <c r="E18">
        <v>169.9</v>
      </c>
      <c r="F18" t="s">
        <v>10</v>
      </c>
      <c r="G18">
        <f t="shared" ca="1" si="1"/>
        <v>0.83977158212966063</v>
      </c>
      <c r="H18">
        <v>169.9</v>
      </c>
      <c r="I18" t="str" cm="1">
        <f t="array" aca="1" ref="I18" ca="1">_FV(Ledger[ [#This Row],[Stock] ],"Code mnémonique",TRUE)</f>
        <v>NVDA</v>
      </c>
    </row>
    <row r="19" spans="1:9" x14ac:dyDescent="0.2">
      <c r="A19" s="3">
        <f>DATE(2025,7,16)</f>
        <v>45854</v>
      </c>
      <c r="B19" t="e" vm="1727">
        <v>#VALUE!</v>
      </c>
      <c r="C19" t="s">
        <v>7</v>
      </c>
      <c r="D19">
        <v>1</v>
      </c>
      <c r="E19">
        <v>192.95</v>
      </c>
      <c r="F19" t="s">
        <v>10</v>
      </c>
      <c r="G19">
        <f t="shared" ca="1" si="1"/>
        <v>0.83977158212966063</v>
      </c>
      <c r="H19">
        <v>192.95</v>
      </c>
      <c r="I19" t="str" cm="1">
        <f t="array" aca="1" ref="I19" ca="1">_FV(Ledger[ [#This Row],[Stock] ],"Code mnémonique",TRUE)</f>
        <v>PANW</v>
      </c>
    </row>
    <row r="20" spans="1:9" x14ac:dyDescent="0.2">
      <c r="A20" s="3">
        <f>DATE(2025,9,1)</f>
        <v>45901</v>
      </c>
      <c r="B20" t="e" vm="994">
        <v>#VALUE!</v>
      </c>
      <c r="C20" t="s">
        <v>7</v>
      </c>
      <c r="D20">
        <v>0.27</v>
      </c>
      <c r="E20">
        <v>589.08000000000004</v>
      </c>
      <c r="F20" t="s">
        <v>9</v>
      </c>
      <c r="G20">
        <f t="shared" si="1"/>
        <v>1</v>
      </c>
      <c r="H20">
        <v>159.99</v>
      </c>
      <c r="I20" t="str" cm="1">
        <f t="array" aca="1" ref="I20" ca="1">_FV(Ledger[ [#This Row],[Stock] ],"Code mnémonique",TRUE)</f>
        <v>SXR8</v>
      </c>
    </row>
    <row r="21" spans="1:9" x14ac:dyDescent="0.2">
      <c r="A21" s="3">
        <v>45936</v>
      </c>
      <c r="B21" t="e" vm="994">
        <v>#VALUE!</v>
      </c>
      <c r="C21" t="s">
        <v>7</v>
      </c>
      <c r="D21">
        <v>0.15</v>
      </c>
      <c r="E21">
        <v>617.28</v>
      </c>
      <c r="F21" t="s">
        <v>9</v>
      </c>
      <c r="G21">
        <f t="shared" si="1"/>
        <v>1</v>
      </c>
      <c r="H21">
        <v>95</v>
      </c>
      <c r="I21" t="str" cm="1">
        <f t="array" aca="1" ref="I21" ca="1">_FV(Ledger[ [#This Row],[Stock] ],"Code mnémonique",TRUE)</f>
        <v>SXR8</v>
      </c>
    </row>
    <row r="22" spans="1:9" x14ac:dyDescent="0.2">
      <c r="A22" s="3">
        <f>DATE(2025,11,4)</f>
        <v>45965</v>
      </c>
      <c r="B22" t="e" vm="1953">
        <v>#VALUE!</v>
      </c>
      <c r="C22" t="s">
        <v>7</v>
      </c>
      <c r="D22">
        <v>0.03</v>
      </c>
      <c r="E22">
        <v>221.05</v>
      </c>
      <c r="F22" t="s">
        <v>9</v>
      </c>
      <c r="G22">
        <f t="shared" si="1"/>
        <v>1</v>
      </c>
      <c r="H22">
        <v>9.0299999999999994</v>
      </c>
      <c r="I22" t="str" cm="1">
        <f t="array" aca="1" ref="I22" ca="1">_FV(Ledger[ [#This Row],[Stock] ],"Code mnémonique",TRUE)</f>
        <v>TTWO</v>
      </c>
    </row>
    <row r="23" spans="1:9" x14ac:dyDescent="0.2">
      <c r="A23" s="3">
        <f>DATE(2025,11,6)</f>
        <v>45967</v>
      </c>
      <c r="B23" t="e" vm="994">
        <v>#VALUE!</v>
      </c>
      <c r="C23" t="s">
        <v>7</v>
      </c>
      <c r="D23">
        <v>0.15</v>
      </c>
      <c r="E23">
        <v>631.78</v>
      </c>
      <c r="F23" t="s">
        <v>9</v>
      </c>
      <c r="G23">
        <f t="shared" si="1"/>
        <v>1</v>
      </c>
      <c r="H23">
        <v>99.95</v>
      </c>
      <c r="I23" t="str" cm="1">
        <f t="array" aca="1" ref="I23" ca="1">_FV(Ledger[ [#This Row],[Stock] ],"Code mnémonique",TRUE)</f>
        <v>SXR8</v>
      </c>
    </row>
    <row r="24" spans="1:9" x14ac:dyDescent="0.2">
      <c r="A24" s="3">
        <f>DATE(2025,11,10)</f>
        <v>45971</v>
      </c>
      <c r="B24" t="e" vm="1956">
        <v>#VALUE!</v>
      </c>
      <c r="C24" t="s">
        <v>8</v>
      </c>
      <c r="D24">
        <v>-0.35</v>
      </c>
      <c r="E24">
        <v>68.84</v>
      </c>
      <c r="F24" t="s">
        <v>9</v>
      </c>
      <c r="G24">
        <f>IF(F24="EUR",1,$K$4)</f>
        <v>1</v>
      </c>
      <c r="H24">
        <v>-23.23</v>
      </c>
      <c r="I24" t="str" cm="1">
        <f t="array" aca="1" ref="I24" ca="1">_FV(Ledger[ [#This Row],[Stock] ],"Code mnémonique",TRUE)</f>
        <v>PPFB</v>
      </c>
    </row>
    <row r="25" spans="1:9" x14ac:dyDescent="0.2">
      <c r="A25" s="3">
        <f>DATE(2025,11,10)</f>
        <v>45971</v>
      </c>
      <c r="B25" t="e" vm="1953">
        <v>#VALUE!</v>
      </c>
      <c r="C25" t="s">
        <v>7</v>
      </c>
      <c r="D25">
        <v>0.47</v>
      </c>
      <c r="E25">
        <v>203.75</v>
      </c>
      <c r="F25" t="s">
        <v>9</v>
      </c>
      <c r="G25">
        <f>IF(F25="EUR",1,$K$4)</f>
        <v>1</v>
      </c>
      <c r="H25">
        <v>98</v>
      </c>
      <c r="I25" t="str" cm="1">
        <f t="array" aca="1" ref="I25" ca="1">_FV(Ledger[ [#This Row],[Stock] ],"Code mnémonique",TRUE)</f>
        <v>TTWO</v>
      </c>
    </row>
    <row r="26" spans="1:9" x14ac:dyDescent="0.2">
      <c r="A26" s="3">
        <v>45992</v>
      </c>
      <c r="B26" t="e" vm="1955">
        <v>#VALUE!</v>
      </c>
      <c r="C26" t="s">
        <v>8</v>
      </c>
      <c r="D26">
        <v>-1</v>
      </c>
      <c r="E26">
        <f>72.82</f>
        <v>72.819999999999993</v>
      </c>
      <c r="F26" t="s">
        <v>9</v>
      </c>
      <c r="G26">
        <f>IF(F26="EUR",1,$K$4)</f>
        <v>1</v>
      </c>
      <c r="H26">
        <f>-Ledger[[#This Row],[Price]]</f>
        <v>-72.819999999999993</v>
      </c>
      <c r="I26" t="str" cm="1">
        <f t="array" aca="1" ref="I26" ca="1">_FV(Ledger[ [#This Row],[Stock] ],"Code mnémonique",TRUE)</f>
        <v>BNP</v>
      </c>
    </row>
    <row r="27" spans="1:9" x14ac:dyDescent="0.2">
      <c r="A27" s="3">
        <v>45993</v>
      </c>
      <c r="B27" t="e" vm="994">
        <v>#VALUE!</v>
      </c>
      <c r="C27" t="s">
        <v>7</v>
      </c>
      <c r="D27">
        <v>0.1111</v>
      </c>
      <c r="E27">
        <v>629.78</v>
      </c>
      <c r="F27" t="s">
        <v>9</v>
      </c>
      <c r="G27">
        <f>IF(F27="EUR",1,$K$4)</f>
        <v>1</v>
      </c>
      <c r="H27">
        <f>Ledger[[#This Row],[Units]]*Ledger[[#This Row],[Price]]</f>
        <v>69.968558000000002</v>
      </c>
      <c r="I27" t="s">
        <v>26</v>
      </c>
    </row>
    <row r="28" spans="1:9" x14ac:dyDescent="0.2">
      <c r="A28" s="3">
        <v>45996</v>
      </c>
      <c r="B28" t="e" vm="1486">
        <v>#VALUE!</v>
      </c>
      <c r="C28" t="s">
        <v>7</v>
      </c>
      <c r="D28">
        <v>1</v>
      </c>
      <c r="E28">
        <v>181.67500000000001</v>
      </c>
      <c r="F28" t="s">
        <v>10</v>
      </c>
      <c r="G28">
        <f ca="1">IF(F28="EUR",1,$K$4)</f>
        <v>0.83977158212966063</v>
      </c>
      <c r="H28">
        <v>181.67500000000001</v>
      </c>
      <c r="I28" t="str" cm="1">
        <f t="array" aca="1" ref="I28" ca="1">_FV(Ledger[ [#This Row],[Stock] ],"Code mnémonique",TRUE)</f>
        <v>NVDA</v>
      </c>
    </row>
    <row r="29" spans="1:9" x14ac:dyDescent="0.2">
      <c r="A29" s="3">
        <v>46014</v>
      </c>
      <c r="B29" t="e" vm="253">
        <v>#VALUE!</v>
      </c>
      <c r="C29" t="s">
        <v>7</v>
      </c>
      <c r="D29">
        <v>0.42780000000000001</v>
      </c>
      <c r="E29">
        <v>310.88</v>
      </c>
      <c r="F29" t="s">
        <v>10</v>
      </c>
      <c r="G29" s="25">
        <f ca="1">IF(F29="EUR",1,$K$4)</f>
        <v>0.83977158212966063</v>
      </c>
      <c r="H29">
        <v>132.99</v>
      </c>
      <c r="I29" s="25" t="str" cm="1">
        <f t="array" aca="1" ref="I29" ca="1">_FV(Ledger[ [#This Row],[Stock] ],"Code mnémonique",TRUE)</f>
        <v>GOOG</v>
      </c>
    </row>
    <row r="30" spans="1:9" x14ac:dyDescent="0.2">
      <c r="A30" s="3">
        <v>46024</v>
      </c>
      <c r="B30" t="e" vm="746">
        <v>#VALUE!</v>
      </c>
      <c r="C30" t="s">
        <v>7</v>
      </c>
      <c r="D30">
        <v>1</v>
      </c>
      <c r="E30">
        <v>352.9</v>
      </c>
      <c r="F30" t="s">
        <v>10</v>
      </c>
      <c r="G30" s="25">
        <f ca="1">IF(F30="EUR",1,$K$4)</f>
        <v>0.83977158212966063</v>
      </c>
      <c r="H30">
        <v>352.9</v>
      </c>
      <c r="I30" s="25" t="str" cm="1">
        <f t="array" aca="1" ref="I30" ca="1">_FV(Ledger[ [#This Row],[Stock] ],"Code mnémonique",TRUE)</f>
        <v>AVGO</v>
      </c>
    </row>
    <row r="31" spans="1:9" x14ac:dyDescent="0.2">
      <c r="A31" s="3">
        <v>46024</v>
      </c>
      <c r="B31" t="e" vm="253">
        <v>#VALUE!</v>
      </c>
      <c r="C31" t="s">
        <v>7</v>
      </c>
      <c r="D31">
        <v>0.48599999999999999</v>
      </c>
      <c r="E31">
        <v>318.93</v>
      </c>
      <c r="F31" t="s">
        <v>10</v>
      </c>
      <c r="G31" s="25">
        <f ca="1">IF(F31="EUR",1,$K$4)</f>
        <v>0.83977158212966063</v>
      </c>
      <c r="H31">
        <v>155</v>
      </c>
      <c r="I31" s="25" t="str" cm="1">
        <f t="array" aca="1" ref="I31" ca="1">_FV(Ledger[ [#This Row],[Stock] ],"Code mnémonique",TRUE)</f>
        <v>GOOG</v>
      </c>
    </row>
    <row r="32" spans="1:9" x14ac:dyDescent="0.2">
      <c r="A32" s="3">
        <v>46030</v>
      </c>
      <c r="B32" t="e" vm="994">
        <v>#VALUE!</v>
      </c>
      <c r="C32" t="s">
        <v>7</v>
      </c>
      <c r="D32">
        <v>0.1638</v>
      </c>
      <c r="E32">
        <v>634.58000000000004</v>
      </c>
      <c r="F32" t="s">
        <v>9</v>
      </c>
      <c r="G32" s="25">
        <f>IF(F32="EUR",1,$K$4)</f>
        <v>1</v>
      </c>
      <c r="H32">
        <v>103.94</v>
      </c>
      <c r="I32" s="25" t="str" cm="1">
        <f t="array" aca="1" ref="I32" ca="1">_FV(Ledger[ [#This Row],[Stock] ],"Code mnémonique",TRUE)</f>
        <v>SXR8</v>
      </c>
    </row>
    <row r="33" spans="1:9" x14ac:dyDescent="0.2">
      <c r="A33" s="3">
        <v>46043</v>
      </c>
      <c r="B33" t="e" vm="994">
        <v>#VALUE!</v>
      </c>
      <c r="C33" t="s">
        <v>7</v>
      </c>
      <c r="D33">
        <v>0.16020000000000001</v>
      </c>
      <c r="E33">
        <v>624.04</v>
      </c>
      <c r="F33" t="s">
        <v>9</v>
      </c>
      <c r="G33" s="25">
        <f>IF(F33="EUR",1,$K$4)</f>
        <v>1</v>
      </c>
      <c r="H33">
        <v>99.97</v>
      </c>
      <c r="I33" s="25" t="str" cm="1">
        <f t="array" aca="1" ref="I33" ca="1">_FV(Ledger[ [#This Row],[Stock] ],"Code mnémonique",TRUE)</f>
        <v>SXR8</v>
      </c>
    </row>
    <row r="34" spans="1:9" x14ac:dyDescent="0.2">
      <c r="A34" s="26">
        <v>46062</v>
      </c>
      <c r="B34" s="27" t="e" vm="1242">
        <v>#VALUE!</v>
      </c>
      <c r="C34" s="27" t="s">
        <v>7</v>
      </c>
      <c r="D34" s="27">
        <v>1</v>
      </c>
      <c r="E34" s="27">
        <v>320.48</v>
      </c>
      <c r="F34" s="27" t="s">
        <v>10</v>
      </c>
      <c r="G34" s="28">
        <f ca="1">IF(F34="EUR",1,$K$4)</f>
        <v>0.83977158212966063</v>
      </c>
      <c r="H34" s="27">
        <v>320.48</v>
      </c>
      <c r="I34" s="28" t="str" cm="1">
        <f t="array" aca="1" ref="I34" ca="1">_FV(Ledger[ [#This Row],[Stock] ],"Code mnémonique",TRUE)</f>
        <v>JPM</v>
      </c>
    </row>
    <row r="35" spans="1:9" x14ac:dyDescent="0.2">
      <c r="A35" s="3">
        <v>46062</v>
      </c>
      <c r="B35" t="e" vm="994">
        <v>#VALUE!</v>
      </c>
      <c r="C35" t="s">
        <v>7</v>
      </c>
      <c r="D35">
        <v>1.1265000000000001</v>
      </c>
      <c r="E35">
        <v>624.04</v>
      </c>
      <c r="F35" t="s">
        <v>9</v>
      </c>
      <c r="G35" s="25">
        <f>IF(F35="EUR",1,$K$4)</f>
        <v>1</v>
      </c>
      <c r="H35">
        <v>702.98</v>
      </c>
      <c r="I35" s="25" t="str" cm="1">
        <f t="array" aca="1" ref="I35" ca="1">_FV(Ledger[ [#This Row],[Stock] ],"Code mnémonique",TRUE)</f>
        <v>SXR8</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Dashboard</vt:lpstr>
      <vt:lpstr>Ledger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BOILLOT Karma</dc:creator>
  <cp:lastModifiedBy>BOILLOT Karma</cp:lastModifiedBy>
  <dcterms:created xsi:type="dcterms:W3CDTF">2025-11-09T16:12:08Z</dcterms:created>
  <dcterms:modified xsi:type="dcterms:W3CDTF">2026-02-11T04:59:37Z</dcterms:modified>
</cp:coreProperties>
</file>