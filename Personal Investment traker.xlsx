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karmaboillot/Desktop/FINANCE/"/>
    </mc:Choice>
  </mc:AlternateContent>
  <xr:revisionPtr revIDLastSave="0" documentId="13_ncr:1_{35F9362D-6235-C840-8EB5-EC326E1F22F0}" xr6:coauthVersionLast="47" xr6:coauthVersionMax="47" xr10:uidLastSave="{00000000-0000-0000-0000-000000000000}"/>
  <bookViews>
    <workbookView xWindow="0" yWindow="0" windowWidth="28800" windowHeight="18000" activeTab="1" xr2:uid="{64943934-42DD-3743-AAD0-A530C8CB7E3D}"/>
  </bookViews>
  <sheets>
    <sheet name="Dashboard" sheetId="1" r:id="rId1"/>
    <sheet name="Ledg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2" l="1"/>
  <c r="A24" i="2"/>
  <c r="I25" i="2" a="1"/>
  <c r="I25" i="2" s="1"/>
  <c r="G24" i="2"/>
  <c r="I24" i="2" a="1"/>
  <c r="I24" i="2" s="1"/>
  <c r="L3" i="2" a="1"/>
  <c r="L3" i="2" s="1"/>
  <c r="K4" i="2" s="1"/>
  <c r="G25" i="2" s="1"/>
  <c r="K2" i="1" a="1"/>
  <c r="K2" i="1" s="1"/>
  <c r="G10" i="2"/>
  <c r="G9" i="2"/>
  <c r="G8" i="2"/>
  <c r="G7" i="2"/>
  <c r="G6" i="2"/>
  <c r="G5" i="2"/>
  <c r="G4" i="2"/>
  <c r="G11" i="2"/>
  <c r="G12" i="2"/>
  <c r="G13" i="2"/>
  <c r="G14" i="2"/>
  <c r="G15" i="2"/>
  <c r="G16" i="2"/>
  <c r="G17" i="2"/>
  <c r="G22" i="2"/>
  <c r="H16" i="2"/>
  <c r="B6" i="1" a="1"/>
  <c r="B6" i="1"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A22" i="2"/>
  <c r="A23" i="2"/>
  <c r="A19" i="2"/>
  <c r="A20" i="2"/>
  <c r="A16" i="2"/>
  <c r="A17" i="2"/>
  <c r="A18" i="2"/>
  <c r="A15" i="2"/>
  <c r="A14" i="2"/>
  <c r="A13" i="2"/>
  <c r="A12" i="2"/>
  <c r="A11" i="2"/>
  <c r="A10" i="2"/>
  <c r="A9" i="2"/>
  <c r="A8" i="2"/>
  <c r="A7" i="2"/>
  <c r="A6" i="2"/>
  <c r="A5" i="2"/>
  <c r="A4" i="2"/>
  <c r="M8" i="1" a="1"/>
  <c r="M7" i="1" a="1"/>
  <c r="M11" i="1" a="1"/>
  <c r="M9" i="1" a="1"/>
  <c r="M10" i="1" a="1"/>
  <c r="M12" i="1" a="1"/>
  <c r="M5" i="1" a="1"/>
  <c r="E6" i="1" l="1" a="1"/>
  <c r="D6" i="1" a="1"/>
  <c r="D6" i="1" s="1"/>
  <c r="G20" i="2"/>
  <c r="G21" i="2"/>
  <c r="G23" i="2"/>
  <c r="G18" i="2"/>
  <c r="G19" i="2"/>
  <c r="M12" i="1"/>
  <c r="M11" i="1"/>
  <c r="M9" i="1"/>
  <c r="M10" i="1"/>
  <c r="M8" i="1"/>
  <c r="M7" i="1"/>
  <c r="M5" i="1"/>
  <c r="C6" i="1" a="1"/>
  <c r="C6" i="1" l="1"/>
  <c r="F6" i="1" s="1" a="1"/>
  <c r="F6" i="1" s="1"/>
  <c r="I6" i="1" s="1" a="1"/>
  <c r="I6" i="1" s="1"/>
  <c r="B16" i="1" a="1"/>
  <c r="B16" i="1" s="1"/>
  <c r="E6" i="1"/>
  <c r="H10" i="1" l="1" a="1"/>
  <c r="H10" i="1" s="1"/>
  <c r="I8" i="1" a="1"/>
  <c r="I8" i="1" s="1"/>
  <c r="H8" i="1" a="1"/>
  <c r="H8" i="1" s="1"/>
  <c r="I7" i="1" a="1"/>
  <c r="I7" i="1" s="1"/>
  <c r="H7" i="1" a="1"/>
  <c r="H7" i="1" s="1"/>
  <c r="G6" i="1" a="1"/>
  <c r="G6" i="1" s="1"/>
  <c r="H9" i="1" a="1"/>
  <c r="H9" i="1" s="1"/>
  <c r="H6" i="1" a="1"/>
  <c r="H6" i="1" s="1"/>
  <c r="I11" i="1" a="1"/>
  <c r="I11" i="1" s="1"/>
  <c r="I10" i="1" a="1"/>
  <c r="I10" i="1" s="1"/>
  <c r="H11" i="1" a="1"/>
  <c r="H11" i="1" s="1"/>
  <c r="I9" i="1" a="1"/>
  <c r="I9" i="1" s="1"/>
  <c r="C16" i="1" l="1" a="1"/>
  <c r="C16" i="1" s="1"/>
  <c r="J6" i="1" a="1"/>
  <c r="J6" i="1" s="1"/>
  <c r="H2" i="1"/>
  <c r="G2" i="1"/>
  <c r="I2"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88">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701"/>
        </ext>
      </extLst>
    </bk>
    <bk>
      <extLst>
        <ext uri="{3e2802c4-a4d2-4d8b-9148-e3be6c30e623}">
          <xlrd:rvb i="1704"/>
        </ext>
      </extLst>
    </bk>
  </futureMetadata>
  <cellMetadata count="1">
    <bk>
      <rc t="1" v="0"/>
    </bk>
  </cellMetadata>
  <valueMetadata count="168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valueMetadata>
</metadata>
</file>

<file path=xl/sharedStrings.xml><?xml version="1.0" encoding="utf-8"?>
<sst xmlns="http://schemas.openxmlformats.org/spreadsheetml/2006/main" count="73" uniqueCount="26">
  <si>
    <t>Date</t>
  </si>
  <si>
    <t>Stock</t>
  </si>
  <si>
    <t>Transaction</t>
  </si>
  <si>
    <t>Units</t>
  </si>
  <si>
    <t>Price</t>
  </si>
  <si>
    <t>Currency</t>
  </si>
  <si>
    <t>Transaction Amount</t>
  </si>
  <si>
    <t>BUY</t>
  </si>
  <si>
    <t>SELL</t>
  </si>
  <si>
    <t>EUR</t>
  </si>
  <si>
    <t>USD</t>
  </si>
  <si>
    <t>Ticker</t>
  </si>
  <si>
    <t>Current Holdings</t>
  </si>
  <si>
    <t>Stock (Exchange:Ticker)</t>
  </si>
  <si>
    <t>Industry</t>
  </si>
  <si>
    <t>Current Price</t>
  </si>
  <si>
    <t>Market Value</t>
  </si>
  <si>
    <t>Gain/(Loss)</t>
  </si>
  <si>
    <t>Last 12 Month</t>
  </si>
  <si>
    <t xml:space="preserve"> </t>
  </si>
  <si>
    <t>Change</t>
  </si>
  <si>
    <t xml:space="preserve">        Today's</t>
  </si>
  <si>
    <t>Total Holding Market Value</t>
  </si>
  <si>
    <t>FX Rate</t>
  </si>
  <si>
    <t xml:space="preserve">
Today's
</t>
  </si>
  <si>
    <t>Portfolio by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</si>
</sst>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0.00\ &quot;€&quot;_);[Red]\(#,##0.00\ &quot;€&quot;\)"/>
    <numFmt numFmtId="44" formatCode="_ * #,##0.00_)\ &quot;€&quot;_ ;_ * \(#,##0.00\)\ &quot;€&quot;_ ;_ * &quot;-&quot;??_)\ &quot;€&quot;_ ;_ @_ "/>
    <numFmt numFmtId="164" formatCode="_([$$-409]* #,##0.00_);_([$$-409]* \(#,##0.00\);_([$$-409]* &quot;-&quot;??_);_(@_)"/>
    <numFmt numFmtId="165" formatCode="_-* #,##0.00\ [$€-40C]_-;\-* #,##0.00\ [$€-40C]_-;_-* &quot;-&quot;??\ [$€-40C]_-;_-@_-"/>
  </numFmts>
  <fonts count="8" x14ac:knownFonts="1">
    <font>
      <sz val="12"/>
      <color theme="1"/>
      <name val="Aptos Narrow"/>
      <family val="2"/>
      <scheme val="minor"/>
    </font>
    <font>
      <sz val="36"/>
      <color theme="0"/>
      <name val="Arial"/>
      <family val="2"/>
    </font>
    <font>
      <sz val="12"/>
      <color theme="1"/>
      <name val="Aptos Narrow"/>
      <family val="2"/>
      <scheme val="minor"/>
    </font>
    <font>
      <sz val="12"/>
      <color rgb="FFFF0000"/>
      <name val="Aptos Narrow"/>
      <family val="2"/>
      <scheme val="minor"/>
    </font>
    <font>
      <sz val="12"/>
      <color theme="0"/>
      <name val="Aptos Narrow"/>
      <family val="2"/>
      <scheme val="minor"/>
    </font>
    <font>
      <sz val="12"/>
      <color theme="0"/>
      <name val="Aptos Narrow (Corps)"/>
    </font>
    <font>
      <b/>
      <sz val="12"/>
      <color theme="0"/>
      <name val="Aptos Narrow (Corps)"/>
    </font>
    <font>
      <b/>
      <sz val="12"/>
      <color theme="0"/>
      <name val="Aptos Narrow"/>
      <scheme val="minor"/>
    </font>
  </fonts>
  <fills count="6">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rgb="FF63A4F7"/>
        <bgColor indexed="64"/>
      </patternFill>
    </fill>
    <fill>
      <patternFill patternType="solid">
        <fgColor rgb="FF4C93D9"/>
        <bgColor indexed="64"/>
      </patternFill>
    </fill>
  </fills>
  <borders count="6">
    <border>
      <left/>
      <right/>
      <top/>
      <bottom/>
      <diagonal/>
    </border>
    <border>
      <left/>
      <right/>
      <top/>
      <bottom style="thin">
        <color theme="3" tint="0.249977111117893"/>
      </bottom>
      <diagonal/>
    </border>
    <border>
      <left style="medium">
        <color theme="3" tint="0.249977111117893"/>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style="medium">
        <color theme="3" tint="0.249977111117893"/>
      </bottom>
      <diagonal/>
    </border>
    <border>
      <left/>
      <right style="medium">
        <color theme="3" tint="0.249977111117893"/>
      </right>
      <top/>
      <bottom style="medium">
        <color theme="3" tint="0.249977111117893"/>
      </bottom>
      <diagonal/>
    </border>
  </borders>
  <cellStyleXfs count="2">
    <xf numFmtId="0" fontId="0" fillId="0" borderId="0"/>
    <xf numFmtId="44" fontId="2" fillId="0" borderId="0" applyFont="0" applyFill="0" applyBorder="0" applyAlignment="0" applyProtection="0"/>
  </cellStyleXfs>
  <cellXfs count="26">
    <xf numFmtId="0" fontId="0" fillId="0" borderId="0" xfId="0"/>
    <xf numFmtId="0" fontId="1" fillId="2" borderId="0" xfId="0" applyFont="1" applyFill="1"/>
    <xf numFmtId="0" fontId="0" fillId="2" borderId="0" xfId="0" applyFill="1"/>
    <xf numFmtId="14" fontId="0" fillId="0" borderId="0" xfId="0" applyNumberFormat="1"/>
    <xf numFmtId="0" fontId="0" fillId="3" borderId="0" xfId="0" applyFill="1"/>
    <xf numFmtId="0" fontId="6" fillId="3" borderId="0" xfId="0" applyFont="1" applyFill="1"/>
    <xf numFmtId="0" fontId="0" fillId="0" borderId="1" xfId="0" applyBorder="1"/>
    <xf numFmtId="164" fontId="0" fillId="0" borderId="0" xfId="0" applyNumberFormat="1"/>
    <xf numFmtId="10" fontId="0" fillId="0" borderId="0" xfId="0" applyNumberFormat="1"/>
    <xf numFmtId="44" fontId="0" fillId="0" borderId="0" xfId="0" applyNumberFormat="1"/>
    <xf numFmtId="0" fontId="5" fillId="2" borderId="0" xfId="0" applyFont="1" applyFill="1" applyAlignment="1">
      <alignment wrapText="1"/>
    </xf>
    <xf numFmtId="40" fontId="0" fillId="0" borderId="0" xfId="0" applyNumberFormat="1"/>
    <xf numFmtId="8" fontId="0" fillId="0" borderId="0" xfId="0" applyNumberFormat="1"/>
    <xf numFmtId="165" fontId="7" fillId="2" borderId="0" xfId="1" applyNumberFormat="1" applyFont="1" applyFill="1" applyAlignment="1">
      <alignment horizontal="center" vertical="center"/>
    </xf>
    <xf numFmtId="40" fontId="4" fillId="2" borderId="0" xfId="0" applyNumberFormat="1" applyFont="1" applyFill="1" applyAlignment="1">
      <alignment vertical="center"/>
    </xf>
    <xf numFmtId="0" fontId="4" fillId="2" borderId="0" xfId="0" applyFont="1" applyFill="1" applyAlignment="1">
      <alignment horizontal="right" vertical="center" wrapText="1"/>
    </xf>
    <xf numFmtId="0" fontId="4" fillId="2" borderId="0" xfId="0" applyFont="1" applyFill="1" applyAlignment="1">
      <alignment horizontal="left" vertical="center"/>
    </xf>
    <xf numFmtId="10" fontId="3" fillId="2" borderId="0" xfId="0" applyNumberFormat="1" applyFont="1" applyFill="1" applyAlignment="1">
      <alignment horizontal="center" vertical="center"/>
    </xf>
    <xf numFmtId="0" fontId="7" fillId="2" borderId="0" xfId="0" applyFont="1" applyFill="1" applyAlignment="1">
      <alignment horizontal="center" vertical="center"/>
    </xf>
    <xf numFmtId="164" fontId="7" fillId="2" borderId="0" xfId="0" applyNumberFormat="1" applyFont="1" applyFill="1" applyAlignment="1">
      <alignment horizontal="left" vertical="center"/>
    </xf>
    <xf numFmtId="0" fontId="0" fillId="5" borderId="0" xfId="0" applyFill="1"/>
    <xf numFmtId="0" fontId="6" fillId="5" borderId="0" xfId="0" applyFont="1" applyFill="1"/>
    <xf numFmtId="0" fontId="4" fillId="4" borderId="2" xfId="0" applyFont="1" applyFill="1" applyBorder="1"/>
    <xf numFmtId="164" fontId="4" fillId="4" borderId="3" xfId="0" applyNumberFormat="1" applyFont="1" applyFill="1" applyBorder="1"/>
    <xf numFmtId="164" fontId="4" fillId="4" borderId="4" xfId="0" applyNumberFormat="1" applyFont="1" applyFill="1" applyBorder="1"/>
    <xf numFmtId="0" fontId="4" fillId="4" borderId="5" xfId="0" applyFont="1" applyFill="1" applyBorder="1"/>
  </cellXfs>
  <cellStyles count="2">
    <cellStyle name="Monétaire" xfId="1" builtinId="4"/>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colors>
    <mruColors>
      <color rgb="FF4C93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0" Type="http://schemas.microsoft.com/office/2017/06/relationships/richStyles" Target="richData/richStyles.xml"/><Relationship Id="rId4" Type="http://schemas.openxmlformats.org/officeDocument/2006/relationships/styles" Target="styles.xml"/><Relationship Id="rId9" Type="http://schemas.microsoft.com/office/2017/06/relationships/rdArray" Target="richData/rdarray.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lotArea>
      <c:layout/>
      <c:pieChart>
        <c:varyColors val="1"/>
        <c:ser>
          <c:idx val="0"/>
          <c:order val="0"/>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35F1-5645-9412-2A0BF42F8B42}"/>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35F1-5645-9412-2A0BF42F8B4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5F1-5645-9412-2A0BF42F8B42}"/>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35F1-5645-9412-2A0BF42F8B42}"/>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35F1-5645-9412-2A0BF42F8B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Dashboard!$B$16:$B$20</c:f>
              <c:strCache>
                <c:ptCount val="5"/>
                <c:pt idx="0">
                  <c:v>Diversified Retail</c:v>
                </c:pt>
                <c:pt idx="1">
                  <c:v>Banking Services</c:v>
                </c:pt>
                <c:pt idx="2">
                  <c:v>ETF</c:v>
                </c:pt>
                <c:pt idx="3">
                  <c:v>Semiconductors &amp; Semiconductor Equipment</c:v>
                </c:pt>
                <c:pt idx="4">
                  <c:v>Software &amp; IT Services</c:v>
                </c:pt>
              </c:strCache>
            </c:strRef>
          </c:cat>
          <c:val>
            <c:numRef>
              <c:f>Dashboard!$C$16:$C$20</c:f>
              <c:numCache>
                <c:formatCode>_("€"* #,##0.00_);_("€"* \(#,##0.00\);_("€"* "-"??_);_(@_)</c:formatCode>
                <c:ptCount val="5"/>
                <c:pt idx="0">
                  <c:v>51.326099999999997</c:v>
                </c:pt>
                <c:pt idx="1">
                  <c:v>67.5</c:v>
                </c:pt>
                <c:pt idx="2">
                  <c:v>451.92959999999999</c:v>
                </c:pt>
                <c:pt idx="3">
                  <c:v>188.14999999999998</c:v>
                </c:pt>
                <c:pt idx="4">
                  <c:v>653.08499999999992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E140-5C4C-8056-4F4FF90EFFBC}"/>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203200</xdr:rowOff>
    </xdr:from>
    <xdr:to>
      <xdr:col>4</xdr:col>
      <xdr:colOff>215900</xdr:colOff>
      <xdr:row>1</xdr:row>
      <xdr:rowOff>254000</xdr:rowOff>
    </xdr:to>
    <xdr:sp macro="" textlink="">
      <xdr:nvSpPr>
        <xdr:cNvPr id="2" name="ZoneTexte 1">
          <a:extLst>
            <a:ext uri="{FF2B5EF4-FFF2-40B4-BE49-F238E27FC236}">
              <a16:creationId xmlns:a16="http://schemas.microsoft.com/office/drawing/2014/main" id="{ED3F15C9-DEE3-777B-7771-7201718FB93F}"/>
            </a:ext>
          </a:extLst>
        </xdr:cNvPr>
        <xdr:cNvSpPr txBox="1"/>
      </xdr:nvSpPr>
      <xdr:spPr>
        <a:xfrm>
          <a:off x="215900" y="203200"/>
          <a:ext cx="68326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3600">
              <a:solidFill>
                <a:schemeClr val="bg1"/>
              </a:solidFill>
            </a:rPr>
            <a:t>Personal Stock Portfolio Dashboard</a:t>
          </a:r>
        </a:p>
        <a:p>
          <a:endParaRPr lang="fr-FR" sz="3600">
            <a:solidFill>
              <a:schemeClr val="bg1"/>
            </a:solidFill>
          </a:endParaRPr>
        </a:p>
      </xdr:txBody>
    </xdr:sp>
    <xdr:clientData/>
  </xdr:twoCellAnchor>
  <xdr:twoCellAnchor>
    <xdr:from>
      <xdr:col>3</xdr:col>
      <xdr:colOff>101504</xdr:colOff>
      <xdr:row>14</xdr:row>
      <xdr:rowOff>55191</xdr:rowOff>
    </xdr:from>
    <xdr:to>
      <xdr:col>11</xdr:col>
      <xdr:colOff>28221</xdr:colOff>
      <xdr:row>20</xdr:row>
      <xdr:rowOff>61148</xdr:rowOff>
    </xdr:to>
    <xdr:graphicFrame macro="">
      <xdr:nvGraphicFramePr>
        <xdr:cNvPr id="4" name="Graphique 3">
          <a:extLst>
            <a:ext uri="{FF2B5EF4-FFF2-40B4-BE49-F238E27FC236}">
              <a16:creationId xmlns:a16="http://schemas.microsoft.com/office/drawing/2014/main" id="{57B7018F-D9DF-7696-67D3-1A4CB0529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656167</xdr:colOff>
      <xdr:row>3</xdr:row>
      <xdr:rowOff>42334</xdr:rowOff>
    </xdr:from>
    <xdr:to>
      <xdr:col>266</xdr:col>
      <xdr:colOff>296334</xdr:colOff>
      <xdr:row>15</xdr:row>
      <xdr:rowOff>317500</xdr:rowOff>
    </xdr:to>
    <xdr:sp macro="" textlink="">
      <xdr:nvSpPr>
        <xdr:cNvPr id="3" name="Rectangle 2">
          <a:extLst>
            <a:ext uri="{FF2B5EF4-FFF2-40B4-BE49-F238E27FC236}">
              <a16:creationId xmlns:a16="http://schemas.microsoft.com/office/drawing/2014/main" id="{69CF38FE-C376-0157-0B83-813E138B1285}"/>
            </a:ext>
          </a:extLst>
        </xdr:cNvPr>
        <xdr:cNvSpPr/>
      </xdr:nvSpPr>
      <xdr:spPr>
        <a:xfrm>
          <a:off x="14478000" y="1481667"/>
          <a:ext cx="210142667" cy="31538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9">
  <a r="1" c="249">
    <v t="i">1</v>
    <v t="i">2</v>
    <v t="i">3</v>
    <v t="i">4</v>
    <v t="i">5</v>
    <v t="i">8</v>
    <v t="i">9</v>
    <v t="i">10</v>
    <v t="i">11</v>
    <v t="i">12</v>
    <v t="i">15</v>
    <v t="i">16</v>
    <v t="i">17</v>
    <v t="i">19</v>
    <v t="i">22</v>
    <v t="i">23</v>
    <v t="i">24</v>
    <v t="i">25</v>
    <v t="i">26</v>
    <v t="i">29</v>
    <v t="i">30</v>
    <v t="i">31</v>
    <v t="i">32</v>
    <v t="i">33</v>
    <v t="i">36</v>
    <v t="i">37</v>
    <v t="i">38</v>
    <v t="i">39</v>
    <v t="i">40</v>
    <v t="i">43</v>
    <v t="i">44</v>
    <v t="i">46</v>
    <v t="i">47</v>
    <v t="i">50</v>
    <v t="i">51</v>
    <v t="i">53</v>
    <v t="i">54</v>
    <v t="i">57</v>
    <v t="i">58</v>
    <v t="i">59</v>
    <v t="i">61</v>
    <v t="i">64</v>
    <v t="i">65</v>
    <v t="i">66</v>
    <v t="i">67</v>
    <v t="i">68</v>
    <v t="i">72</v>
    <v t="i">73</v>
    <v t="i">74</v>
    <v t="i">75</v>
    <v t="i">78</v>
    <v t="i">79</v>
    <v t="i">80</v>
    <v t="i">81</v>
    <v t="i">82</v>
    <v t="i">85</v>
    <v t="i">86</v>
    <v t="i">87</v>
    <v t="i">88</v>
    <v t="i">89</v>
    <v t="i">92</v>
    <v t="i">93</v>
    <v t="i">94</v>
    <v t="i">95</v>
    <v t="i">96</v>
    <v t="i">100</v>
    <v t="i">101</v>
    <v t="i">102</v>
    <v t="i">103</v>
    <v t="i">106</v>
    <v t="i">107</v>
    <v t="i">108</v>
    <v t="i">109</v>
    <v t="i">110</v>
    <v t="i">113</v>
    <v t="i">114</v>
    <v t="i">115</v>
    <v t="i">116</v>
    <v t="i">117</v>
    <v t="i">120</v>
    <v t="i">121</v>
    <v t="i">122</v>
    <v t="i">123</v>
    <v t="i">124</v>
    <v t="i">127</v>
    <v t="i">128</v>
    <v t="i">129</v>
    <v t="i">130</v>
    <v t="i">131</v>
    <v t="i">134</v>
    <v t="i">135</v>
    <v t="i">136</v>
    <v t="i">137</v>
    <v t="i">138</v>
    <v t="i">141</v>
    <v t="i">142</v>
    <v t="i">143</v>
    <v t="i">144</v>
    <v t="i">145</v>
    <v t="i">148</v>
    <v t="i">149</v>
    <v t="i">150</v>
    <v t="i">151</v>
    <v t="i">152</v>
    <v t="i">155</v>
    <v t="i">156</v>
    <v t="i">157</v>
    <v t="i">158</v>
    <v t="i">162</v>
    <v t="i">163</v>
    <v t="i">164</v>
    <v t="i">165</v>
    <v t="i">166</v>
    <v t="i">169</v>
    <v t="i">170</v>
    <v t="i">171</v>
    <v t="i">172</v>
    <v t="i">173</v>
    <v t="i">176</v>
    <v t="i">177</v>
    <v t="i">178</v>
    <v t="i">179</v>
    <v t="i">180</v>
    <v t="i">183</v>
    <v t="i">184</v>
    <v t="i">185</v>
    <v t="i">186</v>
    <v t="i">187</v>
    <v t="i">190</v>
    <v t="i">191</v>
    <v t="i">192</v>
    <v t="i">193</v>
    <v t="i">194</v>
    <v t="i">198</v>
    <v t="i">199</v>
    <v t="i">200</v>
    <v t="i">201</v>
    <v t="i">204</v>
    <v t="i">205</v>
    <v t="i">206</v>
    <v t="i">207</v>
    <v t="i">208</v>
    <v t="i">211</v>
    <v t="i">212</v>
    <v t="i">213</v>
    <v t="i">214</v>
    <v t="i">215</v>
    <v t="i">218</v>
    <v t="i">219</v>
    <v t="i">220</v>
    <v t="i">222</v>
    <v t="i">225</v>
    <v t="i">226</v>
    <v t="i">227</v>
    <v t="i">228</v>
    <v t="i">229</v>
    <v t="i">232</v>
    <v t="i">233</v>
    <v t="i">234</v>
    <v t="i">235</v>
    <v t="i">239</v>
    <v t="i">240</v>
    <v t="i">241</v>
    <v t="i">242</v>
    <v t="i">243</v>
    <v t="i">246</v>
    <v t="i">247</v>
    <v t="i">248</v>
    <v t="i">249</v>
    <v t="i">250</v>
    <v t="i">253</v>
    <v t="i">254</v>
    <v t="i">255</v>
    <v t="i">256</v>
    <v t="i">257</v>
    <v t="i">260</v>
    <v t="i">261</v>
    <v t="i">262</v>
    <v t="i">263</v>
    <v t="i">264</v>
    <v t="i">267</v>
    <v t="i">268</v>
    <v t="i">269</v>
    <v t="i">270</v>
    <v t="i">271</v>
    <v t="i">274</v>
    <v t="i">275</v>
    <v t="i">276</v>
    <v t="i">277</v>
    <v t="i">278</v>
    <v t="i">281</v>
    <v t="i">282</v>
    <v t="i">283</v>
    <v t="i">284</v>
    <v t="i">285</v>
    <v t="i">288</v>
    <v t="i">289</v>
    <v t="i">290</v>
    <v t="i">291</v>
    <v t="i">292</v>
    <v t="i">296</v>
    <v t="i">297</v>
    <v t="i">298</v>
    <v t="i">299</v>
    <v t="i">302</v>
    <v t="i">303</v>
    <v t="i">304</v>
    <v t="i">305</v>
    <v t="i">306</v>
    <v t="i">309</v>
    <v t="i">310</v>
    <v t="i">311</v>
    <v t="i">312</v>
    <v t="i">313</v>
    <v t="i">316</v>
    <v t="i">317</v>
    <v t="i">318</v>
    <v t="i">319</v>
    <v t="i">320</v>
    <v t="i">323</v>
    <v t="i">324</v>
    <v t="i">325</v>
    <v t="i">326</v>
    <v t="i">327</v>
    <v t="i">330</v>
    <v t="i">331</v>
    <v t="i">332</v>
    <v t="i">333</v>
    <v t="i">334</v>
    <v t="i">337</v>
    <v t="i">338</v>
    <v t="i">339</v>
    <v t="i">340</v>
    <v t="i">341</v>
    <v t="i">344</v>
    <v t="i">345</v>
    <v t="i">346</v>
    <v t="i">347</v>
    <v t="i">348</v>
    <v t="i">351</v>
    <v t="i">352</v>
    <v t="i">353</v>
    <v t="i">354</v>
    <v t="i">355</v>
    <v t="i">358</v>
    <v t="i">359</v>
    <v t="i">360</v>
    <v t="i">361</v>
    <v t="i">362</v>
  </a>
  <a r="1" c="249">
    <v>206.84</v>
    <v>208.91</v>
    <v>214.1</v>
    <v>211.48</v>
    <v>202.61</v>
    <v>201.7</v>
    <v>204.61</v>
    <v>202.88</v>
    <v>198.38</v>
    <v>197.12</v>
    <v>201.45</v>
    <v>207.86</v>
    <v>205.74</v>
    <v>207.89</v>
    <v>210.71</v>
    <v>213.44</v>
    <v>218.16</v>
    <v>220.55</v>
    <v>227.03</v>
    <v>226.09</v>
    <v>225.04</v>
    <v>230.26</v>
    <v>228.97</v>
    <v>227.46</v>
    <v>232.93</v>
    <v>231.15</v>
    <v>220.52</v>
    <v>223.29</v>
    <v>224.92</v>
    <v>225.06</v>
    <v>229.05</v>
    <v>227.05</v>
    <v>223.75</v>
    <v>221.3</v>
    <v>219.39</v>
    <v>220.22</v>
    <v>224.19</v>
    <v>227.61</v>
    <v>222.11</v>
    <v>222.13</v>
    <v>218.94</v>
    <v>218.46</v>
    <v>217.76</v>
    <v>223.35</v>
    <v>220.66</v>
    <v>225.94</v>
    <v>230.71</v>
    <v>235.01</v>
    <v>235.42</v>
    <v>234.85</v>
    <v>235.42</v>
    <v>238.15</v>
    <v>237.07</v>
    <v>234.64</v>
    <v>237.68</v>
    <v>237.42</v>
    <v>242.06</v>
    <v>236.17</v>
    <v>238.83</v>
    <v>229.15</v>
    <v>233.14</v>
    <v>232.76</v>
    <v>228.93</v>
    <v>230.37</v>
    <v>228.68</v>
    <v>226.65</v>
    <v>226.63</v>
    <v>222.88</v>
    <v>216.58</v>
    <v>212.71</v>
    <v>212.8</v>
    <v>214.35</v>
    <v>208.74</v>
    <v>212.28</v>
    <v>205.02</v>
    <v>203.8</v>
    <v>208.36</v>
    <v>200.7</v>
    <v>199.25</v>
    <v>194.54</v>
    <v>196.59</v>
    <v>198.89</v>
    <v>193.89</v>
    <v>197.95</v>
    <v>195.74</v>
    <v>192.82</v>
    <v>195.54</v>
    <v>194.95</v>
    <v>196.21</v>
    <v>203.26</v>
    <v>205.71</v>
    <v>201.13</v>
    <v>201.36</v>
    <v>192.72</v>
    <v>190.26</v>
    <v>192.17</v>
    <v>196.01</v>
    <v>178.41</v>
    <v>171</v>
    <v>175.26</v>
    <v>170.66</v>
    <v>191.1</v>
    <v>181.22</v>
    <v>184.87</v>
    <v>182.12</v>
    <v>179.59</v>
    <v>174.33</v>
    <v>172.61</v>
    <v>167.32</v>
    <v>173.18</v>
    <v>180.6</v>
    <v>186.54</v>
    <v>188.99</v>
    <v>187.7</v>
    <v>187.39</v>
    <v>184.42</v>
    <v>190.2</v>
    <v>189.98</v>
    <v>186.35</v>
    <v>185.01</v>
    <v>188.71</v>
    <v>192.08</v>
    <v>193.06</v>
    <v>208.64</v>
    <v>211.37</v>
    <v>210.25</v>
    <v>205.17</v>
    <v>205.59</v>
    <v>206.16</v>
    <v>204.07</v>
    <v>201.12</v>
    <v>203.1</v>
    <v>200.99</v>
    <v>206.02</v>
    <v>204.72</v>
    <v>205.7</v>
    <v>205.01</v>
    <v>206.65</v>
    <v>205.71</v>
    <v>207.23</v>
    <v>207.91</v>
    <v>213.57</v>
    <v>216.98</v>
    <v>217.61</v>
    <v>213.2</v>
    <v>213.24</v>
    <v>212.1</v>
    <v>216.1</v>
    <v>214.82</v>
    <v>212.52</v>
    <v>209.69</v>
    <v>208.47</v>
    <v>212.77</v>
    <v>211.99</v>
    <v>217.12</v>
    <v>223.3</v>
    <v>219.39</v>
    <v>220.46</v>
    <v>219.92</v>
    <v>223.41</v>
    <v>223.47</v>
    <v>219.36</v>
    <v>222.54</v>
    <v>222.26</v>
    <v>225.02</v>
    <v>225.69</v>
    <v>226.35</v>
    <v>223.19</v>
    <v>223.88</v>
    <v>226.13</v>
    <v>229.3</v>
    <v>227.47</v>
    <v>228.29</v>
    <v>232.23</v>
    <v>231.44</v>
    <v>232.79</v>
    <v>231.01</v>
    <v>230.19</v>
    <v>234.11</v>
    <v>214.75</v>
    <v>211.65</v>
    <v>213.75</v>
    <v>222.31</v>
    <v>223.13</v>
    <v>222.69</v>
    <v>221.3</v>
    <v>221.47</v>
    <v>224.56</v>
    <v>230.98</v>
    <v>231.03</v>
    <v>231.49</v>
    <v>228.01</v>
    <v>223.81</v>
    <v>221.95</v>
    <v>228.84</v>
    <v>227.94</v>
    <v>228.71</v>
    <v>229.12</v>
    <v>231.6</v>
    <v>229</v>
    <v>225.34</v>
    <v>225.99</v>
    <v>235.68</v>
    <v>232.33</v>
    <v>235.84</v>
    <v>238.24</v>
    <v>230.33</v>
    <v>229.95</v>
    <v>228.15</v>
    <v>231.43</v>
    <v>234.05</v>
    <v>231.62</v>
    <v>231.23</v>
    <v>231.48</v>
    <v>227.63</v>
    <v>220.71</v>
    <v>220.21</v>
    <v>218.15</v>
    <v>219.78</v>
    <v>222.17</v>
    <v>219.57</v>
    <v>220.63</v>
    <v>222.41</v>
    <v>219.51</v>
    <v>220.9</v>
    <v>221.78</v>
    <v>225.22</v>
    <v>227.74</v>
    <v>216.37</v>
    <v>220.07</v>
    <v>216.39</v>
    <v>215.57</v>
    <v>214.47</v>
    <v>213.04</v>
    <v>216.48</v>
    <v>222.03</v>
    <v>217.95</v>
    <v>221.09</v>
    <v>224.21</v>
    <v>226.97</v>
    <v>229.25</v>
    <v>230.3</v>
    <v>222.86</v>
    <v>244.22</v>
    <v>254</v>
    <v>249.32</v>
    <v>250.2</v>
    <v>243.04</v>
    <v>244.41</v>
  </a>
  <a r="1" c="254">
    <v t="i">1</v>
    <v t="i">2</v>
    <v t="i">3</v>
    <v t="i">4</v>
    <v t="i">5</v>
    <v t="i">8</v>
    <v t="i">9</v>
    <v t="i">10</v>
    <v t="i">11</v>
    <v t="i">12</v>
    <v t="i">15</v>
    <v t="i">16</v>
    <v t="i">17</v>
    <v t="i">18</v>
    <v t="i">19</v>
    <v t="i">22</v>
    <v t="i">23</v>
    <v t="i">24</v>
    <v t="i">25</v>
    <v t="i">26</v>
    <v t="i">29</v>
    <v t="i">30</v>
    <v t="i">31</v>
    <v t="i">32</v>
    <v t="i">33</v>
    <v t="i">36</v>
    <v t="i">37</v>
    <v t="i">38</v>
    <v t="i">39</v>
    <v t="i">40</v>
    <v t="i">43</v>
    <v t="i">44</v>
    <v t="i">47</v>
    <v t="i">50</v>
    <v t="i">51</v>
    <v t="i">53</v>
    <v t="i">54</v>
    <v t="i">57</v>
    <v t="i">58</v>
    <v t="i">59</v>
    <v t="i">60</v>
    <v t="i">61</v>
    <v t="i">64</v>
    <v t="i">65</v>
    <v t="i">66</v>
    <v t="i">67</v>
    <v t="i">68</v>
    <v t="i">71</v>
    <v t="i">72</v>
    <v t="i">73</v>
    <v t="i">74</v>
    <v t="i">75</v>
    <v t="i">78</v>
    <v t="i">79</v>
    <v t="i">80</v>
    <v t="i">81</v>
    <v t="i">82</v>
    <v t="i">85</v>
    <v t="i">86</v>
    <v t="i">87</v>
    <v t="i">88</v>
    <v t="i">89</v>
    <v t="i">92</v>
    <v t="i">93</v>
    <v t="i">94</v>
    <v t="i">95</v>
    <v t="i">96</v>
    <v t="i">99</v>
    <v t="i">100</v>
    <v t="i">101</v>
    <v t="i">102</v>
    <v t="i">103</v>
    <v t="i">106</v>
    <v t="i">107</v>
    <v t="i">108</v>
    <v t="i">109</v>
    <v t="i">110</v>
    <v t="i">113</v>
    <v t="i">114</v>
    <v t="i">115</v>
    <v t="i">116</v>
    <v t="i">117</v>
    <v t="i">120</v>
    <v t="i">121</v>
    <v t="i">122</v>
    <v t="i">123</v>
    <v t="i">124</v>
    <v t="i">127</v>
    <v t="i">128</v>
    <v t="i">129</v>
    <v t="i">130</v>
    <v t="i">131</v>
    <v t="i">134</v>
    <v t="i">135</v>
    <v t="i">136</v>
    <v t="i">137</v>
    <v t="i">138</v>
    <v t="i">141</v>
    <v t="i">142</v>
    <v t="i">143</v>
    <v t="i">144</v>
    <v t="i">145</v>
    <v t="i">148</v>
    <v t="i">149</v>
    <v t="i">150</v>
    <v t="i">151</v>
    <v t="i">152</v>
    <v t="i">155</v>
    <v t="i">156</v>
    <v t="i">157</v>
    <v t="i">158</v>
    <v t="i">163</v>
    <v t="i">164</v>
    <v t="i">165</v>
    <v t="i">166</v>
    <v t="i">169</v>
    <v t="i">170</v>
    <v t="i">171</v>
    <v t="i">173</v>
    <v t="i">176</v>
    <v t="i">177</v>
    <v t="i">178</v>
    <v t="i">179</v>
    <v t="i">180</v>
    <v t="i">183</v>
    <v t="i">184</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235</v>
    <v t="i">236</v>
    <v t="i">239</v>
    <v t="i">240</v>
    <v t="i">241</v>
    <v t="i">242</v>
    <v t="i">243</v>
    <v t="i">246</v>
    <v t="i">247</v>
    <v t="i">248</v>
    <v t="i">249</v>
    <v t="i">250</v>
    <v t="i">253</v>
    <v t="i">254</v>
    <v t="i">255</v>
    <v t="i">256</v>
    <v t="i">257</v>
    <v t="i">260</v>
    <v t="i">261</v>
    <v t="i">262</v>
    <v t="i">263</v>
    <v t="i">264</v>
    <v t="i">267</v>
    <v t="i">268</v>
    <v t="i">269</v>
    <v t="i">270</v>
    <v t="i">271</v>
    <v t="i">274</v>
    <v t="i">275</v>
    <v t="i">276</v>
    <v t="i">277</v>
    <v t="i">278</v>
    <v t="i">281</v>
    <v t="i">282</v>
    <v t="i">283</v>
    <v t="i">284</v>
    <v t="i">285</v>
    <v t="i">288</v>
    <v t="i">289</v>
    <v t="i">290</v>
    <v t="i">291</v>
    <v t="i">292</v>
    <v t="i">295</v>
    <v t="i">296</v>
    <v t="i">297</v>
    <v t="i">298</v>
    <v t="i">299</v>
    <v t="i">302</v>
    <v t="i">303</v>
    <v t="i">304</v>
    <v t="i">305</v>
    <v t="i">306</v>
    <v t="i">309</v>
    <v t="i">310</v>
    <v t="i">311</v>
    <v t="i">312</v>
    <v t="i">313</v>
    <v t="i">316</v>
    <v t="i">317</v>
    <v t="i">318</v>
    <v t="i">319</v>
    <v t="i">320</v>
    <v t="i">323</v>
    <v t="i">324</v>
    <v t="i">325</v>
    <v t="i">326</v>
    <v t="i">327</v>
    <v t="i">330</v>
    <v t="i">331</v>
    <v t="i">332</v>
    <v t="i">333</v>
    <v t="i">334</v>
    <v t="i">337</v>
    <v t="i">338</v>
    <v t="i">339</v>
    <v t="i">340</v>
    <v t="i">341</v>
    <v t="i">344</v>
    <v t="i">345</v>
    <v t="i">346</v>
    <v t="i">347</v>
    <v t="i">348</v>
    <v t="i">351</v>
    <v t="i">352</v>
    <v t="i">353</v>
    <v t="i">354</v>
    <v t="i">355</v>
    <v t="i">358</v>
    <v t="i">359</v>
    <v t="i">360</v>
    <v t="i">361</v>
    <v t="i">362</v>
  </a>
  <a r="1" c="254">
    <v>60.94</v>
    <v>59.38</v>
    <v>59.12</v>
    <v>59.47</v>
    <v>60.11</v>
    <v>60.42</v>
    <v>59.31</v>
    <v>58.49</v>
    <v>58.22</v>
    <v>56.92</v>
    <v>56.98</v>
    <v>56.3</v>
    <v>55.63</v>
    <v>56.14</v>
    <v>56.64</v>
    <v>55.94</v>
    <v>55.78</v>
    <v>56.5</v>
    <v>57.97</v>
    <v>58.57</v>
    <v>60.06</v>
    <v>59.7</v>
    <v>59.59</v>
    <v>58.92</v>
    <v>58.94</v>
    <v>58.82</v>
    <v>58.25</v>
    <v>58.63</v>
    <v>57.81</v>
    <v>57.48</v>
    <v>57.44</v>
    <v>57.54</v>
    <v>58.54</v>
    <v>58.73</v>
    <v>59.22</v>
    <v>59.25</v>
    <v>58.49</v>
    <v>60.03</v>
    <v>60.4</v>
    <v>60.14</v>
    <v>59.95</v>
    <v>59.35</v>
    <v>59.64</v>
    <v>60.81</v>
    <v>62.08</v>
    <v>62.21</v>
    <v>62.24</v>
    <v>62.95</v>
    <v>63.11</v>
    <v>62.31</v>
    <v>63.38</v>
    <v>63.61</v>
    <v>64.23</v>
    <v>64.58</v>
    <v>64.67</v>
    <v>65.66</v>
    <v>65.72</v>
    <v>64.319999999999993</v>
    <v>67.05</v>
    <v>66.400000000000006</v>
    <v>68.260000000000005</v>
    <v>69.45</v>
    <v>69.489999999999995</v>
    <v>70.13</v>
    <v>70.94</v>
    <v>70.099999999999994</v>
    <v>69.95</v>
    <v>69.83</v>
    <v>71.09</v>
    <v>70.3</v>
    <v>70.87</v>
    <v>71.12</v>
    <v>71.08</v>
    <v>72.11</v>
    <v>72.72</v>
    <v>72.61</v>
    <v>72.86</v>
    <v>74.02</v>
    <v>71.69</v>
    <v>74.66</v>
    <v>77.17</v>
    <v>76.569999999999993</v>
    <v>74.44</v>
    <v>72.959999999999994</v>
    <v>73.69</v>
    <v>73.55</v>
    <v>75.72</v>
    <v>77.91</v>
    <v>80.209999999999994</v>
    <v>80.86</v>
    <v>79.05</v>
    <v>79.72</v>
    <v>79.430000000000007</v>
    <v>81.58</v>
    <v>80.400000000000006</v>
    <v>79.67</v>
    <v>78.55</v>
    <v>76.91</v>
    <v>78.489999999999995</v>
    <v>77.75</v>
    <v>73.7</v>
    <v>68.67</v>
    <v>66.099999999999994</v>
    <v>66.19</v>
    <v>63.78</v>
    <v>67.23</v>
    <v>65.61</v>
    <v>68.5</v>
    <v>70.58</v>
    <v>71.58</v>
    <v>70.739999999999995</v>
    <v>71.62</v>
    <v>73.819999999999993</v>
    <v>72.23</v>
    <v>72.81</v>
    <v>74.099999999999994</v>
    <v>74.8</v>
    <v>74.290000000000006</v>
    <v>76.36</v>
    <v>76.36</v>
    <v>76</v>
    <v>76.02</v>
    <v>77</v>
    <v>77.5</v>
    <v>79.05</v>
    <v>79.08</v>
    <v>79.92</v>
    <v>79.599999999999994</v>
    <v>79.39</v>
    <v>77.150000000000006</v>
    <v>77.64</v>
    <v>77.94</v>
    <v>77.5</v>
    <v>75.84</v>
    <v>77.22</v>
    <v>77.42</v>
    <v>76.58</v>
    <v>76.83</v>
    <v>77.14</v>
    <v>76.709999999999994</v>
    <v>77.22</v>
    <v>76.64</v>
    <v>77.5</v>
    <v>78.14</v>
    <v>78.489999999999995</v>
    <v>76.290000000000006</v>
    <v>76.22</v>
    <v>76.48</v>
    <v>75.28</v>
    <v>77.5</v>
    <v>75.97</v>
    <v>76.569999999999993</v>
    <v>74.64</v>
    <v>74.3</v>
    <v>73.08</v>
    <v>75.38</v>
    <v>75.209999999999994</v>
    <v>75.27</v>
    <v>76.900000000000006</v>
    <v>76.319999999999993</v>
    <v>75.2</v>
    <v>76.63</v>
    <v>76.58</v>
    <v>74.88</v>
    <v>75.94</v>
    <v>76.41</v>
    <v>78.87</v>
    <v>77.91</v>
    <v>76.599999999999994</v>
    <v>76.680000000000007</v>
    <v>76.23</v>
    <v>76.08</v>
    <v>77.150000000000006</v>
    <v>77.84</v>
    <v>77.739999999999995</v>
    <v>77.08</v>
    <v>78.48</v>
    <v>78.790000000000006</v>
    <v>78.87</v>
    <v>77.38</v>
    <v>78.48</v>
    <v>79.069999999999993</v>
    <v>80.06</v>
    <v>76.53</v>
    <v>78.5</v>
    <v>78.38</v>
    <v>79.3</v>
    <v>79.5</v>
    <v>81.5</v>
    <v>81.55</v>
    <v>81.75</v>
    <v>82.94</v>
    <v>83.94</v>
    <v>83.7</v>
    <v>82.29</v>
    <v>82.86</v>
    <v>83.31</v>
    <v>82.72</v>
    <v>83.38</v>
    <v>80.430000000000007</v>
    <v>77.03</v>
    <v>76.53</v>
    <v>76.900000000000006</v>
    <v>76.83</v>
    <v>77.05</v>
    <v>75.94</v>
    <v>76.19</v>
    <v>77.56</v>
    <v>76.52</v>
    <v>76.7</v>
    <v>77.87</v>
    <v>78.16</v>
    <v>79.41</v>
    <v>79.3</v>
    <v>80.33</v>
    <v>79.17</v>
    <v>77.67</v>
    <v>78.39</v>
    <v>79.599999999999994</v>
    <v>78.680000000000007</v>
    <v>78.930000000000007</v>
    <v>78.22</v>
    <v>78.430000000000007</v>
    <v>77.540000000000006</v>
    <v>77.45</v>
    <v>77.33</v>
    <v>78.34</v>
    <v>77.53</v>
    <v>78</v>
    <v>75.5</v>
    <v>74.63</v>
    <v>75.2</v>
    <v>75.540000000000006</v>
    <v>75.5</v>
    <v>75.44</v>
    <v>75.75</v>
    <v>76.83</v>
    <v>77.98</v>
    <v>74.89</v>
    <v>69.099999999999994</v>
    <v>67.930000000000007</v>
    <v>68.37</v>
    <v>68.72</v>
    <v>68.48</v>
    <v>69.19</v>
    <v>66.739999999999995</v>
    <v>66.94</v>
    <v>66.47</v>
    <v>67.06</v>
    <v>66</v>
    <v>66</v>
    <v>65.98</v>
    <v>65.34</v>
    <v>65.489999999999995</v>
  </a>
  <a r="1" c="249">
    <v>145.26</v>
    <v>148.29</v>
    <v>146.27000000000001</v>
    <v>146.76</v>
    <v>141.97999999999999</v>
    <v>140.15</v>
    <v>147.01</v>
    <v>145.88999999999999</v>
    <v>146.66999999999999</v>
    <v>141.94999999999999</v>
    <v>136.02000000000001</v>
    <v>136.91999999999999</v>
    <v>135.34</v>
    <v>138.25</v>
    <v>138.63</v>
    <v>140.26</v>
    <v>145.13999999999999</v>
    <v>145.06</v>
    <v>142.44</v>
    <v>138.81</v>
    <v>135.07</v>
    <v>139.31</v>
    <v>137.34</v>
    <v>134.25</v>
    <v>132</v>
    <v>130.38999999999999</v>
    <v>128.91</v>
    <v>130.68</v>
    <v>134.69999999999999</v>
    <v>139.66999999999999</v>
    <v>140.22</v>
    <v>139.93</v>
    <v>137.01</v>
    <v>137.49</v>
    <v>134.29</v>
    <v>138.31</v>
    <v>144.47</v>
    <v>149.43</v>
    <v>140.13999999999999</v>
    <v>140.11000000000001</v>
    <v>135.91</v>
    <v>133.22999999999999</v>
    <v>131.76</v>
    <v>136.24</v>
    <v>133.57</v>
    <v>137.71</v>
    <v>140.83000000000001</v>
    <v>147.07</v>
    <v>147.22</v>
    <v>142.62</v>
    <v>118.42</v>
    <v>128.99</v>
    <v>123.7</v>
    <v>124.65</v>
    <v>120.07</v>
    <v>116.66</v>
    <v>118.65</v>
    <v>124.83</v>
    <v>128.68</v>
    <v>129.84</v>
    <v>133.57</v>
    <v>132.80000000000001</v>
    <v>131.13999999999999</v>
    <v>135.29</v>
    <v>138.85</v>
    <v>139.4</v>
    <v>139.22999999999999</v>
    <v>140.11000000000001</v>
    <v>134.43</v>
    <v>130.28</v>
    <v>126.63</v>
    <v>131.28</v>
    <v>120.15</v>
    <v>124.92</v>
    <v>114.06</v>
    <v>115.99</v>
    <v>117.3</v>
    <v>110.57</v>
    <v>112.69</v>
    <v>106.98</v>
    <v>108.76</v>
    <v>115.74</v>
    <v>115.58</v>
    <v>121.67</v>
    <v>119.53</v>
    <v>115.43</v>
    <v>117.52</v>
    <v>118.53</v>
    <v>117.7</v>
    <v>121.41</v>
    <v>120.69</v>
    <v>113.76</v>
    <v>111.43</v>
    <v>109.67</v>
    <v>108.38</v>
    <v>110.15</v>
    <v>110.42</v>
    <v>101.8</v>
    <v>94.31</v>
    <v>97.64</v>
    <v>96.3</v>
    <v>114.33</v>
    <v>107.57</v>
    <v>110.93</v>
    <v>110.71</v>
    <v>112.2</v>
    <v>104.49</v>
    <v>101.49</v>
    <v>96.91</v>
    <v>98.89</v>
    <v>102.71</v>
    <v>106.43</v>
    <v>111.01</v>
    <v>108.73</v>
    <v>109.02</v>
    <v>108.92</v>
    <v>111.61</v>
    <v>114.5</v>
    <v>113.82</v>
    <v>113.54</v>
    <v>117.06</v>
    <v>117.37</v>
    <v>116.65</v>
    <v>123</v>
    <v>129.93</v>
    <v>135.34</v>
    <v>134.83000000000001</v>
    <v>135.4</v>
    <v>135.57</v>
    <v>134.38</v>
    <v>131.80000000000001</v>
    <v>132.83000000000001</v>
    <v>131.29</v>
    <v>135.5</v>
    <v>134.81</v>
    <v>139.19</v>
    <v>135.13</v>
    <v>137.38</v>
    <v>141.22</v>
    <v>141.91999999999999</v>
    <v>139.99</v>
    <v>141.72</v>
    <v>142.63</v>
    <v>143.96</v>
    <v>142.83000000000001</v>
    <v>145</v>
    <v>141.97</v>
    <v>144.69</v>
    <v>144.12</v>
    <v>145.47999999999999</v>
    <v>143.85</v>
    <v>144.16999999999999</v>
    <v>147.9</v>
    <v>154.31</v>
    <v>155.02000000000001</v>
    <v>157.75</v>
    <v>157.99</v>
    <v>153.30000000000001</v>
    <v>157.25</v>
    <v>159.34</v>
    <v>158.24</v>
    <v>160</v>
    <v>162.88</v>
    <v>164.1</v>
    <v>164.92</v>
    <v>164.07</v>
    <v>170.7</v>
    <v>171.37</v>
    <v>173</v>
    <v>172.41</v>
    <v>171.38</v>
    <v>167.03</v>
    <v>170.78</v>
    <v>173.74</v>
    <v>173.5</v>
    <v>176.75</v>
    <v>175.51</v>
    <v>179.27</v>
    <v>177.87</v>
    <v>173.72</v>
    <v>180</v>
    <v>178.26</v>
    <v>179.42</v>
    <v>180.77</v>
    <v>182.7</v>
    <v>182.06</v>
    <v>183.16</v>
    <v>181.59</v>
    <v>182.02</v>
    <v>180.45</v>
    <v>182.01</v>
    <v>175.64</v>
    <v>175.4</v>
    <v>174.98</v>
    <v>177.99</v>
    <v>179.81</v>
    <v>181.77</v>
    <v>181.6</v>
    <v>180.17</v>
    <v>174.18</v>
    <v>170.78</v>
    <v>170.62</v>
    <v>171.66</v>
    <v>167.02</v>
    <v>168.31</v>
    <v>170.76</v>
    <v>177.33</v>
    <v>177.17</v>
    <v>177.82</v>
    <v>177.75</v>
    <v>174.88</v>
    <v>170.29</v>
    <v>176.24</v>
    <v>176.67</v>
    <v>183.61</v>
    <v>178.43</v>
    <v>176.97</v>
    <v>177.69</v>
    <v>178.19</v>
    <v>181.85</v>
    <v>186.58</v>
    <v>187.24</v>
    <v>188.89</v>
    <v>187.62</v>
    <v>185.54</v>
    <v>185.04</v>
    <v>189.11</v>
    <v>192.57</v>
    <v>183.16</v>
    <v>188.32</v>
    <v>180.03</v>
    <v>179.83</v>
    <v>181.81</v>
    <v>183.22</v>
    <v>182.64</v>
    <v>181.16</v>
    <v>180.28</v>
    <v>182.16</v>
    <v>186.26</v>
    <v>191.49</v>
    <v>201.03</v>
    <v>207.04</v>
    <v>202.89</v>
    <v>202.49</v>
    <v>206.88</v>
    <v>198.69</v>
    <v>195.21</v>
    <v>188.08</v>
    <v>188.15</v>
  </a>
  <a r="1" c="252">
    <v t="i">1</v>
    <v t="i">2</v>
    <v t="i">3</v>
    <v t="i">4</v>
    <v t="i">5</v>
    <v t="i">8</v>
    <v t="i">9</v>
    <v t="i">10</v>
    <v t="i">11</v>
    <v t="i">12</v>
    <v t="i">15</v>
    <v t="i">16</v>
    <v t="i">17</v>
    <v t="i">18</v>
    <v t="i">19</v>
    <v t="i">22</v>
    <v t="i">23</v>
    <v t="i">24</v>
    <v t="i">25</v>
    <v t="i">26</v>
    <v t="i">29</v>
    <v t="i">30</v>
    <v t="i">31</v>
    <v t="i">32</v>
    <v t="i">33</v>
    <v t="i">36</v>
    <v t="i">37</v>
    <v t="i">38</v>
    <v t="i">39</v>
    <v t="i">40</v>
    <v t="i">43</v>
    <v t="i">47</v>
    <v t="i">50</v>
    <v t="i">53</v>
    <v t="i">54</v>
    <v t="i">57</v>
    <v t="i">58</v>
    <v t="i">59</v>
    <v t="i">60</v>
    <v t="i">61</v>
    <v t="i">64</v>
    <v t="i">65</v>
    <v t="i">66</v>
    <v t="i">67</v>
    <v t="i">68</v>
    <v t="i">71</v>
    <v t="i">72</v>
    <v t="i">73</v>
    <v t="i">74</v>
    <v t="i">75</v>
    <v t="i">78</v>
    <v t="i">79</v>
    <v t="i">80</v>
    <v t="i">81</v>
    <v t="i">82</v>
    <v t="i">85</v>
    <v t="i">86</v>
    <v t="i">87</v>
    <v t="i">88</v>
    <v t="i">89</v>
    <v t="i">92</v>
    <v t="i">93</v>
    <v t="i">94</v>
    <v t="i">95</v>
    <v t="i">96</v>
    <v t="i">99</v>
    <v t="i">100</v>
    <v t="i">101</v>
    <v t="i">102</v>
    <v t="i">103</v>
    <v t="i">106</v>
    <v t="i">107</v>
    <v t="i">108</v>
    <v t="i">109</v>
    <v t="i">110</v>
    <v t="i">113</v>
    <v t="i">114</v>
    <v t="i">115</v>
    <v t="i">116</v>
    <v t="i">117</v>
    <v t="i">120</v>
    <v t="i">121</v>
    <v t="i">122</v>
    <v t="i">123</v>
    <v t="i">124</v>
    <v t="i">127</v>
    <v t="i">128</v>
    <v t="i">129</v>
    <v t="i">130</v>
    <v t="i">131</v>
    <v t="i">134</v>
    <v t="i">135</v>
    <v t="i">136</v>
    <v t="i">137</v>
    <v t="i">138</v>
    <v t="i">141</v>
    <v t="i">142</v>
    <v t="i">143</v>
    <v t="i">144</v>
    <v t="i">145</v>
    <v t="i">148</v>
    <v t="i">149</v>
    <v t="i">150</v>
    <v t="i">151</v>
    <v t="i">152</v>
    <v t="i">155</v>
    <v t="i">156</v>
    <v t="i">157</v>
    <v t="i">158</v>
    <v t="i">163</v>
    <v t="i">164</v>
    <v t="i">165</v>
    <v t="i">166</v>
    <v t="i">169</v>
    <v t="i">170</v>
    <v t="i">171</v>
    <v t="i">173</v>
    <v t="i">176</v>
    <v t="i">177</v>
    <v t="i">178</v>
    <v t="i">179</v>
    <v t="i">180</v>
    <v t="i">183</v>
    <v t="i">184</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235</v>
    <v t="i">236</v>
    <v t="i">239</v>
    <v t="i">240</v>
    <v t="i">241</v>
    <v t="i">242</v>
    <v t="i">243</v>
    <v t="i">246</v>
    <v t="i">247</v>
    <v t="i">248</v>
    <v t="i">249</v>
    <v t="i">250</v>
    <v t="i">253</v>
    <v t="i">254</v>
    <v t="i">255</v>
    <v t="i">256</v>
    <v t="i">257</v>
    <v t="i">260</v>
    <v t="i">261</v>
    <v t="i">262</v>
    <v t="i">263</v>
    <v t="i">264</v>
    <v t="i">267</v>
    <v t="i">268</v>
    <v t="i">269</v>
    <v t="i">270</v>
    <v t="i">271</v>
    <v t="i">274</v>
    <v t="i">275</v>
    <v t="i">276</v>
    <v t="i">277</v>
    <v t="i">278</v>
    <v t="i">281</v>
    <v t="i">282</v>
    <v t="i">283</v>
    <v t="i">284</v>
    <v t="i">285</v>
    <v t="i">288</v>
    <v t="i">289</v>
    <v t="i">290</v>
    <v t="i">291</v>
    <v t="i">292</v>
    <v t="i">295</v>
    <v t="i">296</v>
    <v t="i">297</v>
    <v t="i">298</v>
    <v t="i">299</v>
    <v t="i">302</v>
    <v t="i">303</v>
    <v t="i">304</v>
    <v t="i">305</v>
    <v t="i">306</v>
    <v t="i">309</v>
    <v t="i">310</v>
    <v t="i">311</v>
    <v t="i">312</v>
    <v t="i">313</v>
    <v t="i">316</v>
    <v t="i">317</v>
    <v t="i">318</v>
    <v t="i">319</v>
    <v t="i">320</v>
    <v t="i">323</v>
    <v t="i">324</v>
    <v t="i">325</v>
    <v t="i">326</v>
    <v t="i">327</v>
    <v t="i">330</v>
    <v t="i">331</v>
    <v t="i">332</v>
    <v t="i">333</v>
    <v t="i">334</v>
    <v t="i">337</v>
    <v t="i">338</v>
    <v t="i">339</v>
    <v t="i">340</v>
    <v t="i">341</v>
    <v t="i">344</v>
    <v t="i">345</v>
    <v t="i">346</v>
    <v t="i">347</v>
    <v t="i">348</v>
    <v t="i">351</v>
    <v t="i">352</v>
    <v t="i">353</v>
    <v t="i">354</v>
    <v t="i">355</v>
    <v t="i">358</v>
    <v t="i">359</v>
    <v t="i">360</v>
    <v t="i">361</v>
    <v t="i">362</v>
  </a>
  <a r="1" c="252">
    <v>596.28</v>
    <v>598.36</v>
    <v>599.9</v>
    <v>599.6</v>
    <v>590.44000000000005</v>
    <v>588.55999999999995</v>
    <v>591.5</v>
    <v>594.22</v>
    <v>602.55999999999995</v>
    <v>606.96</v>
    <v>604.48</v>
    <v>608.96</v>
    <v>600.79999999999995</v>
    <v>603.74</v>
    <v>604.79999999999995</v>
    <v>610.20000000000005</v>
    <v>609.79999999999995</v>
    <v>610.52</v>
    <v>610.54</v>
    <v>611.08000000000004</v>
    <v>608.29999999999995</v>
    <v>607.29999999999995</v>
    <v>615.02</v>
    <v>613.29999999999995</v>
    <v>611.38</v>
    <v>614.16</v>
    <v>610.91999999999996</v>
    <v>603.58000000000004</v>
    <v>603.98</v>
    <v>605.62</v>
    <v>607.26</v>
    <v>604.96</v>
    <v>601.26</v>
    <v>602.76</v>
    <v>611.1</v>
    <v>611.48</v>
    <v>607.66</v>
    <v>607.64</v>
    <v>608.91999999999996</v>
    <v>603.67999999999995</v>
    <v>603.96</v>
    <v>603.28</v>
    <v>613.54</v>
    <v>612.28</v>
    <v>620.04</v>
    <v>615.08000000000004</v>
    <v>615.48</v>
    <v>620.29999999999995</v>
    <v>621.22</v>
    <v>617.08000000000004</v>
    <v>606.64</v>
    <v>618.02</v>
    <v>614.4</v>
    <v>617.96</v>
    <v>619.91999999999996</v>
    <v>619.96</v>
    <v>617</v>
    <v>615.67999999999995</v>
    <v>620.44000000000005</v>
    <v>621.52</v>
    <v>624.26</v>
    <v>622.5</v>
    <v>618.52</v>
    <v>620.08000000000004</v>
    <v>617.91999999999996</v>
    <v>621.08000000000004</v>
    <v>621.84</v>
    <v>626.14</v>
    <v>617.54</v>
    <v>613.28</v>
    <v>610.41999999999996</v>
    <v>602.36</v>
    <v>602.28</v>
    <v>600</v>
    <v>600.02</v>
    <v>591.82000000000005</v>
    <v>583.41999999999996</v>
    <v>575.96</v>
    <v>564.58000000000004</v>
    <v>565.24</v>
    <v>551.34</v>
    <v>544.20000000000005</v>
    <v>545.72</v>
    <v>540.58000000000004</v>
    <v>550.02</v>
    <v>552.62</v>
    <v>546.08000000000004</v>
    <v>553.94000000000005</v>
    <v>553.88</v>
    <v>554.94000000000005</v>
    <v>566.17999999999995</v>
    <v>569.62</v>
    <v>564.34</v>
    <v>562.1</v>
    <v>548</v>
    <v>549.91999999999996</v>
    <v>552.96</v>
    <v>552.55999999999995</v>
    <v>521.46</v>
    <v>498.32</v>
    <v>495.52</v>
    <v>483.06</v>
    <v>532.32000000000005</v>
    <v>500.3</v>
    <v>502.84</v>
    <v>507.88</v>
    <v>509.84</v>
    <v>497.58</v>
    <v>498.87</v>
    <v>487.83</v>
    <v>503.66</v>
    <v>511.94</v>
    <v>516.82000000000005</v>
    <v>515.88</v>
    <v>517.55999999999995</v>
    <v>518.05999999999995</v>
    <v>534.26</v>
    <v>534.46</v>
    <v>524.34</v>
    <v>527.79999999999995</v>
    <v>541.24</v>
    <v>534.58000000000004</v>
    <v>560.29999999999995</v>
    <v>561.55999999999995</v>
    <v>560.76</v>
    <v>563.94000000000005</v>
    <v>568.08000000000004</v>
    <v>565.54</v>
    <v>562.22</v>
    <v>548.66</v>
    <v>554</v>
    <v>544.98</v>
    <v>549.94000000000005</v>
    <v>555.54</v>
    <v>557.46</v>
    <v>553.54</v>
    <v>550.38</v>
    <v>552.29999999999995</v>
    <v>559.72</v>
    <v>557.52</v>
    <v>556.17999999999995</v>
    <v>560.64</v>
    <v>561.05999999999995</v>
    <v>562.58000000000004</v>
    <v>559.34</v>
    <v>556.22</v>
    <v>554.05999999999995</v>
    <v>555.94000000000005</v>
    <v>555.96</v>
    <v>555.48</v>
    <v>551.76</v>
    <v>551.64</v>
    <v>554.41999999999996</v>
    <v>559.91999999999996</v>
    <v>558.12</v>
    <v>557.84</v>
    <v>562.17999999999995</v>
    <v>560.24</v>
    <v>561.67999999999995</v>
    <v>562.02</v>
    <v>568.79999999999995</v>
    <v>564.79999999999995</v>
    <v>566.86</v>
    <v>566.62</v>
    <v>569.17999999999995</v>
    <v>573.48</v>
    <v>571.6</v>
    <v>572.96</v>
    <v>575</v>
    <v>572.28</v>
    <v>579.14</v>
    <v>577.54</v>
    <v>578.05999999999995</v>
    <v>573</v>
    <v>575.79999999999995</v>
    <v>577.88</v>
    <v>581.14</v>
    <v>587.34</v>
    <v>589.12</v>
    <v>593.08000000000004</v>
    <v>594.58000000000004</v>
    <v>576.64</v>
    <v>583.22</v>
    <v>581.34</v>
    <v>580.96</v>
    <v>579.66</v>
    <v>585.08000000000004</v>
    <v>585.29999999999995</v>
    <v>588.98</v>
    <v>588.86</v>
    <v>593.08000000000004</v>
    <v>589.08000000000004</v>
    <v>589.58000000000004</v>
    <v>587.6</v>
    <v>585.96</v>
    <v>584.32000000000005</v>
    <v>588.74</v>
    <v>593.05999999999995</v>
    <v>591.28</v>
    <v>594.38</v>
    <v>594.52</v>
    <v>588.9</v>
    <v>590.36</v>
    <v>586.34</v>
    <v>588.5</v>
    <v>594.74</v>
    <v>588.9</v>
    <v>589.84</v>
    <v>592.86</v>
    <v>596.16</v>
    <v>599.34</v>
    <v>599.94000000000005</v>
    <v>599.86</v>
    <v>594.84</v>
    <v>594.54</v>
    <v>601.44000000000005</v>
    <v>604.9</v>
    <v>606.38</v>
    <v>602.78</v>
    <v>604.38</v>
    <v>604.67999999999995</v>
    <v>606.48</v>
    <v>606.6</v>
    <v>604.04</v>
    <v>611.02</v>
    <v>611.98</v>
    <v>611.86</v>
    <v>615.70000000000005</v>
    <v>615.66</v>
    <v>621.94000000000005</v>
    <v>621.94000000000005</v>
    <v>605</v>
    <v>614.62</v>
    <v>614.58000000000004</v>
    <v>609.74</v>
    <v>605.70000000000005</v>
    <v>608.16</v>
    <v>619.02</v>
    <v>621.5</v>
    <v>617.26</v>
    <v>620.6</v>
    <v>625.74</v>
    <v>630.48</v>
    <v>632.67999999999995</v>
    <v>634.22</v>
    <v>633.05999999999995</v>
    <v>634.88</v>
    <v>636.1</v>
    <v>631.82000000000005</v>
    <v>635.22</v>
    <v>625.28</v>
    <v>621.16</v>
  </a>
  <a r="1" c="249">
    <v>179.39</v>
    <v>180.55</v>
    <v>181.87</v>
    <v>181.48</v>
    <v>177.62</v>
    <v>182.93</v>
    <v>186.01</v>
    <v>185.5</v>
    <v>186.58</v>
    <v>188.15</v>
    <v>187.62</v>
    <v>187.85</v>
    <v>185.56</v>
    <v>188.38</v>
    <v>187.95</v>
    <v>188.06</v>
    <v>188.2</v>
    <v>190.03</v>
    <v>189.71</v>
    <v>187.9</v>
    <v>185.36</v>
    <v>190.46</v>
    <v>189.64</v>
    <v>185.48</v>
    <v>187.18</v>
    <v>185.93</v>
    <v>181.9</v>
    <v>181.38</v>
    <v>181.97</v>
    <v>183.22</v>
    <v>185.39</v>
    <v>187.16</v>
    <v>186.43</v>
    <v>184.54</v>
    <v>184.08</v>
    <v>183.07</v>
    <v>188.75</v>
    <v>188.98</v>
    <v>181.75</v>
    <v>183.74</v>
    <v>178.61</v>
    <v>178.76</v>
    <v>180.03</v>
    <v>181.32</v>
    <v>183.37</v>
    <v>186.41</v>
    <v>185.14</v>
    <v>187.99</v>
    <v>183.82</v>
    <v>185.49</v>
    <v>187.87</v>
    <v>187.14</v>
    <v>190.09</v>
    <v>191.23</v>
    <v>185.51</v>
    <v>186.07</v>
    <v>183.54</v>
    <v>184.92</v>
    <v>183.08</v>
    <v>208.77</v>
    <v>212.51</v>
    <v>209.94</v>
    <v>209.18</v>
    <v>210.09</v>
    <v>208.76</v>
    <v>216.38</v>
    <v>215.18</v>
    <v>215.24</v>
    <v>211.65</v>
    <v>212.02</v>
    <v>207.91</v>
    <v>209.11</v>
    <v>208.21</v>
    <v>211.98</v>
    <v>208.05</v>
    <v>208.55</v>
    <v>214.81</v>
    <v>207.87</v>
    <v>204.33</v>
    <v>201.93</v>
    <v>203.8</v>
    <v>205.33</v>
    <v>203.63</v>
    <v>204.57</v>
    <v>206.5</v>
    <v>204.32</v>
    <v>208.86</v>
    <v>209.63</v>
    <v>213.47</v>
    <v>213.51</v>
    <v>217.95</v>
    <v>215.89</v>
    <v>214.29</v>
    <v>210.47</v>
    <v>207.25</v>
    <v>210.13</v>
    <v>211.1</v>
    <v>208.93</v>
    <v>194.58</v>
    <v>197.53</v>
    <v>196.25</v>
    <v>208.13</v>
    <v>204.41</v>
    <v>212.07</v>
    <v>212.95</v>
    <v>214.6</v>
    <v>211.4</v>
    <v>212.77</v>
    <v>205.16</v>
    <v>209.97</v>
    <v>213.3</v>
    <v>222.69</v>
    <v>225.38</v>
    <v>225.55</v>
    <v>230.71</v>
    <v>233.32</v>
    <v>235.17</v>
    <v>219.5</v>
    <v>225.32</v>
    <v>231.84</v>
    <v>226.34</v>
    <v>225.45</v>
    <v>226.55</v>
    <v>226.25</v>
    <v>226.16</v>
    <v>229.5</v>
    <v>232.34</v>
    <v>226.74</v>
    <v>234.66</v>
    <v>237.5</v>
    <v>226.76</v>
    <v>226.01</v>
    <v>224.99</v>
    <v>226.27</v>
    <v>228.33</v>
    <v>225.39</v>
    <v>226.28</v>
    <v>227.6</v>
    <v>229.65</v>
    <v>229.18</v>
    <v>231.03</v>
    <v>232.72</v>
    <v>233.5</v>
    <v>234.91</v>
    <v>234.74</v>
    <v>234.46</v>
    <v>230.23</v>
    <v>238.6</v>
    <v>237.52</v>
    <v>238.5</v>
    <v>238.37</v>
    <v>241.59</v>
    <v>243.05</v>
    <v>241.64</v>
    <v>239.33</v>
    <v>241.44</v>
    <v>242.85</v>
    <v>240.1</v>
    <v>239.51</v>
    <v>240.11</v>
    <v>242.53</v>
    <v>240.56</v>
    <v>242.23</v>
    <v>235.33</v>
    <v>233.92</v>
    <v>238.46</v>
    <v>237.7</v>
    <v>238.73</v>
    <v>233.92</v>
    <v>231.18</v>
    <v>231.63</v>
    <v>231.07</v>
    <v>228.73</v>
    <v>225.75</v>
    <v>224.75</v>
    <v>226.1</v>
    <v>223.98</v>
    <v>223.81</v>
    <v>222.73</v>
    <v>220.58</v>
    <v>225.99</v>
    <v>225.92</v>
    <v>227.21</v>
    <v>226.49</v>
    <v>217.37</v>
    <v>222.67</v>
    <v>232.56</v>
    <v>236.14</v>
    <v>233.16</v>
    <v>232.18</v>
    <v>232.55</v>
    <v>228.36</v>
    <v>228.67</v>
    <v>227.87</v>
    <v>229.03</v>
    <v>231.83</v>
    <v>230.82</v>
    <v>232.03</v>
    <v>234.9</v>
    <v>233.27</v>
    <v>240.95</v>
    <v>238.86</v>
    <v>240.65</v>
    <v>239.68</v>
    <v>248.78</v>
    <v>247.86</v>
    <v>244.04</v>
    <v>246.54</v>
    <v>246.26</v>
    <v>247.25</v>
    <v>247.73</v>
    <v>250.52</v>
    <v>249.74</v>
    <v>250.85</v>
    <v>251.64</v>
    <v>251.28</v>
    <v>244.12</v>
    <v>245.11</v>
    <v>256.12</v>
    <v>259.95999999999998</v>
    <v>258.36</v>
    <v>255.4</v>
    <v>256.94</v>
    <v>257.68</v>
    <v>256.98</v>
    <v>260.5</v>
    <v>258.07</v>
    <v>256.69</v>
    <v>251.97</v>
    <v>256.68</v>
    <v>257.72000000000003</v>
    <v>261.5</v>
    <v>259.23</v>
    <v>261.35000000000002</v>
    <v>262.29000000000002</v>
    <v>260.27999999999997</v>
    <v>255.56</v>
    <v>254.53</v>
    <v>255.12</v>
    <v>254.27</v>
    <v>251.57</v>
    <v>251.73</v>
    <v>252.78</v>
    <v>256.37</v>
    <v>255.65</v>
    <v>252.43</v>
    <v>254.76</v>
    <v>252.4</v>
    <v>232</v>
  </a>
  <a r="1" c="249">
    <v>199.05</v>
    <v>199.01</v>
    <v>201.18</v>
    <v>197.19499999999999</v>
    <v>193.5</v>
    <v>193.41499999999999</v>
    <v>194.03</v>
    <v>196.44499999999999</v>
    <v>198.85</v>
    <v>191.68</v>
    <v>193.19</v>
    <v>198.2</v>
    <v>192.185</v>
    <v>193.91</v>
    <v>195.08500000000001</v>
    <v>196.29499999999999</v>
    <v>202.29</v>
    <v>201.51499999999999</v>
    <v>202.95</v>
    <v>194.47</v>
    <v>194.88</v>
    <v>199.21</v>
    <v>200.10499999999999</v>
    <v>196.56</v>
    <v>202.5</v>
    <v>201.24</v>
    <v>188.76</v>
    <v>189.36</v>
    <v>186.78</v>
    <v>188.22</v>
    <v>189.51</v>
    <v>188.5</v>
    <v>186.18</v>
    <v>184.2</v>
    <v>181.96</v>
    <v>180.74</v>
    <v>183.25</v>
    <v>179.5</v>
    <v>175.51</v>
    <v>172.83</v>
    <v>173.42</v>
    <v>167.82</v>
    <v>170.58</v>
    <v>174.19</v>
    <v>177.17</v>
    <v>177.11</v>
    <v>183.51</v>
    <v>187.7</v>
    <v>187.32</v>
    <v>187.7</v>
    <v>189.3</v>
    <v>192.94</v>
    <v>185.42</v>
    <v>187.42</v>
    <v>184.42</v>
    <v>182.79</v>
    <v>183.4</v>
    <v>186.85</v>
    <v>187.37</v>
    <v>193.94</v>
    <v>196.4</v>
    <v>195.49</v>
    <v>196.73</v>
    <v>201.88</v>
    <v>200.03</v>
    <v>208.28</v>
    <v>205.19</v>
    <v>198.81</v>
    <v>191.03</v>
    <v>190.39</v>
    <v>188.01</v>
    <v>189.55</v>
    <v>187.5</v>
    <v>190.43</v>
    <v>183.68</v>
    <v>184.38</v>
    <v>184.28</v>
    <v>179.33</v>
    <v>180.93</v>
    <v>173.83</v>
    <v>178.93</v>
    <v>179.48</v>
    <v>176.32</v>
    <v>182.34</v>
    <v>185</v>
    <v>183.1</v>
    <v>187.54</v>
    <v>184.01</v>
    <v>182.32</v>
    <v>184.79</v>
    <v>189.95</v>
    <v>184.96</v>
    <v>174.44</v>
    <v>172.76</v>
    <v>170.64</v>
    <v>171.31</v>
    <v>173.18</v>
    <v>165.17</v>
    <v>153.57</v>
    <v>152.44</v>
    <v>152.53</v>
    <v>173.02</v>
    <v>168.27</v>
    <v>168.34</v>
    <v>169.98</v>
    <v>173.55</v>
    <v>169.76</v>
    <v>167.69</v>
    <v>160.05000000000001</v>
    <v>163.63</v>
    <v>168.32</v>
    <v>176.04</v>
    <v>178.98</v>
    <v>181.54</v>
    <v>186.65</v>
    <v>186.93</v>
    <v>186.27</v>
    <v>187.7</v>
    <v>188.13</v>
    <v>188.69</v>
    <v>188.14</v>
    <v>188.53</v>
    <v>186.93</v>
    <v>193.5</v>
    <v>192</v>
    <v>190.9</v>
    <v>192.9</v>
    <v>192.98</v>
    <v>194.3</v>
    <v>194.48</v>
    <v>181.26</v>
    <v>186.14</v>
    <v>186.75</v>
    <v>187.46</v>
    <v>187.8</v>
    <v>185.82</v>
    <v>192.42</v>
    <v>194.86</v>
    <v>197.12</v>
    <v>194.07</v>
    <v>197.11</v>
    <v>199.6</v>
    <v>196.33</v>
    <v>195.95</v>
    <v>194.39</v>
    <v>197.67</v>
    <v>196.27</v>
    <v>198.11</v>
    <v>202.05</v>
    <v>199.78</v>
    <v>199.24</v>
    <v>203.32</v>
    <v>201.69</v>
    <v>204.3</v>
    <v>202.34</v>
    <v>200.57</v>
    <v>204.64</v>
    <v>197.58</v>
    <v>196.97</v>
    <v>201.82</v>
    <v>201.42</v>
    <v>203.99</v>
    <v>206.06</v>
    <v>192.07</v>
    <v>187.39</v>
    <v>190.72</v>
    <v>192.25</v>
    <v>192.59</v>
    <v>196.28</v>
    <v>195.78</v>
    <v>199.88</v>
    <v>196.73</v>
    <v>199.22</v>
    <v>201.16</v>
    <v>203.27</v>
    <v>204.5</v>
    <v>193.84</v>
    <v>183.03</v>
    <v>173.6</v>
    <v>172.88</v>
    <v>171</v>
    <v>169.09</v>
    <v>172.89</v>
    <v>168.1</v>
    <v>167.06</v>
    <v>168.17</v>
    <v>175.4</v>
    <v>176.86</v>
    <v>173.55</v>
    <v>177.09</v>
    <v>176.17</v>
    <v>181.56</v>
    <v>184.43</v>
    <v>183.32</v>
    <v>185.88</v>
    <v>184.55</v>
    <v>184.23</v>
    <v>187.61</v>
    <v>191.02</v>
    <v>190.52</v>
    <v>190.52</v>
    <v>191.53</v>
    <v>192.35</v>
    <v>194.46</v>
    <v>197.38</v>
    <v>197.55</v>
    <v>197.33</v>
    <v>198.33</v>
    <v>196.29</v>
    <v>201.28</v>
    <v>201.34</v>
    <v>203.12</v>
    <v>205.68</v>
    <v>208.19</v>
    <v>208.18</v>
    <v>203.25</v>
    <v>200.7</v>
    <v>202.21</v>
    <v>202.37</v>
    <v>203.96</v>
    <v>203.62</v>
    <v>206.8</v>
    <v>209.3</v>
    <v>207.19</v>
    <v>212.58</v>
    <v>211.04</v>
    <v>217.79</v>
    <v>215.17</v>
    <v>208.55</v>
    <v>213.28</v>
    <v>207.56</v>
    <v>206.7</v>
    <v>205.51</v>
    <v>207.89</v>
    <v>211.82</v>
    <v>214.4</v>
    <v>212.42</v>
    <v>215.02</v>
    <v>217.11</v>
    <v>220.29</v>
    <v>221.38</v>
    <v>217.16</v>
    <v>218.27</v>
    <v>220.24</v>
    <v>219.23</v>
    <v>214.52</v>
    <v>213.18</v>
    <v>211.37</v>
    <v>212.285</v>
  </a>
</arrayData>
</file>

<file path=xl/richData/rdrichvalue.xml><?xml version="1.0" encoding="utf-8"?>
<rvData xmlns="http://schemas.microsoft.com/office/spreadsheetml/2017/richdata" count="1711">
  <rv s="0">
    <v>0</v>
    <v>1</v>
    <v>EUR/USD</v>
    <v>3</v>
    <v>4</v>
    <v>Finance</v>
    <v>5</v>
    <v>fr-FR</v>
    <v>av932w</v>
    <v>268435456</v>
    <v>1</v>
    <v>Avec Refinitiv</v>
    <v>1.1541999999999999</v>
    <v>1.0176000000000001</v>
    <v>1.1565000000000001</v>
    <v>EURUSD</v>
    <v>EUR</v>
    <v>45971.602256944447</v>
    <v>USD</v>
    <v>1.1583000000000001</v>
    <v>1.1918</v>
    <v>0</v>
    <v>0</v>
    <v>Euro/US Dollar FX Spot Rate</v>
    <v>1.1565000000000001</v>
    <v>1.1565000000000001</v>
    <v>Paire de devises</v>
    <v>EUR/USD</v>
  </rv>
  <rv s="1">
    <v>0</v>
  </rv>
  <rv s="2">
    <fb>45607</fb>
    <v>6</v>
  </rv>
  <rv s="2">
    <fb>45608</fb>
    <v>6</v>
  </rv>
  <rv s="2">
    <fb>45609</fb>
    <v>6</v>
  </rv>
  <rv s="2">
    <fb>45610</fb>
    <v>6</v>
  </rv>
  <rv s="2">
    <fb>45611</fb>
    <v>6</v>
  </rv>
  <rv s="2">
    <fb>45614</fb>
    <v>6</v>
  </rv>
  <rv s="2">
    <fb>45615</fb>
    <v>6</v>
  </rv>
  <rv s="2">
    <fb>45616</fb>
    <v>6</v>
  </rv>
  <rv s="2">
    <fb>45617</fb>
    <v>6</v>
  </rv>
  <rv s="2">
    <fb>45618</fb>
    <v>6</v>
  </rv>
  <rv s="2">
    <fb>45621</fb>
    <v>6</v>
  </rv>
  <rv s="2">
    <fb>45622</fb>
    <v>6</v>
  </rv>
  <rv s="2">
    <fb>45623</fb>
    <v>6</v>
  </rv>
  <rv s="2">
    <fb>45625</fb>
    <v>6</v>
  </rv>
  <rv s="2">
    <fb>45628</fb>
    <v>6</v>
  </rv>
  <rv s="2">
    <fb>45629</fb>
    <v>6</v>
  </rv>
  <rv s="2">
    <fb>45630</fb>
    <v>6</v>
  </rv>
  <rv s="2">
    <fb>45631</fb>
    <v>6</v>
  </rv>
  <rv s="2">
    <fb>45632</fb>
    <v>6</v>
  </rv>
  <rv s="2">
    <fb>45635</fb>
    <v>6</v>
  </rv>
  <rv s="2">
    <fb>45636</fb>
    <v>6</v>
  </rv>
  <rv s="2">
    <fb>45637</fb>
    <v>6</v>
  </rv>
  <rv s="2">
    <fb>45638</fb>
    <v>6</v>
  </rv>
  <rv s="2">
    <fb>45639</fb>
    <v>6</v>
  </rv>
  <rv s="2">
    <fb>45642</fb>
    <v>6</v>
  </rv>
  <rv s="2">
    <fb>45643</fb>
    <v>6</v>
  </rv>
  <rv s="2">
    <fb>45644</fb>
    <v>6</v>
  </rv>
  <rv s="2">
    <fb>45645</fb>
    <v>6</v>
  </rv>
  <rv s="2">
    <fb>45646</fb>
    <v>6</v>
  </rv>
  <rv s="2">
    <fb>45649</fb>
    <v>6</v>
  </rv>
  <rv s="2">
    <fb>45650</fb>
    <v>6</v>
  </rv>
  <rv s="2">
    <fb>45652</fb>
    <v>6</v>
  </rv>
  <rv s="2">
    <fb>45653</fb>
    <v>6</v>
  </rv>
  <rv s="2">
    <fb>45656</fb>
    <v>6</v>
  </rv>
  <rv s="2">
    <fb>45657</fb>
    <v>6</v>
  </rv>
  <rv s="2">
    <fb>45659</fb>
    <v>6</v>
  </rv>
  <rv s="2">
    <fb>45660</fb>
    <v>6</v>
  </rv>
  <rv s="2">
    <fb>45663</fb>
    <v>6</v>
  </rv>
  <rv s="2">
    <fb>45664</fb>
    <v>6</v>
  </rv>
  <rv s="2">
    <fb>45665</fb>
    <v>6</v>
  </rv>
  <rv s="2">
    <fb>45667</fb>
    <v>6</v>
  </rv>
  <rv s="2">
    <fb>45670</fb>
    <v>6</v>
  </rv>
  <rv s="2">
    <fb>45671</fb>
    <v>6</v>
  </rv>
  <rv s="2">
    <fb>45672</fb>
    <v>6</v>
  </rv>
  <rv s="2">
    <fb>45673</fb>
    <v>6</v>
  </rv>
  <rv s="2">
    <fb>45674</fb>
    <v>6</v>
  </rv>
  <rv s="2">
    <fb>45678</fb>
    <v>6</v>
  </rv>
  <rv s="2">
    <fb>45679</fb>
    <v>6</v>
  </rv>
  <rv s="2">
    <fb>45680</fb>
    <v>6</v>
  </rv>
  <rv s="2">
    <fb>45681</fb>
    <v>6</v>
  </rv>
  <rv s="2">
    <fb>45684</fb>
    <v>6</v>
  </rv>
  <rv s="2">
    <fb>45685</fb>
    <v>6</v>
  </rv>
  <rv s="2">
    <fb>45686</fb>
    <v>6</v>
  </rv>
  <rv s="2">
    <fb>45687</fb>
    <v>6</v>
  </rv>
  <rv s="2">
    <fb>45688</fb>
    <v>6</v>
  </rv>
  <rv s="2">
    <fb>45691</fb>
    <v>6</v>
  </rv>
  <rv s="2">
    <fb>45692</fb>
    <v>6</v>
  </rv>
  <rv s="2">
    <fb>45693</fb>
    <v>6</v>
  </rv>
  <rv s="2">
    <fb>45694</fb>
    <v>6</v>
  </rv>
  <rv s="2">
    <fb>45695</fb>
    <v>6</v>
  </rv>
  <rv s="2">
    <fb>45698</fb>
    <v>6</v>
  </rv>
  <rv s="2">
    <fb>45699</fb>
    <v>6</v>
  </rv>
  <rv s="2">
    <fb>45700</fb>
    <v>6</v>
  </rv>
  <rv s="2">
    <fb>45701</fb>
    <v>6</v>
  </rv>
  <rv s="2">
    <fb>45702</fb>
    <v>6</v>
  </rv>
  <rv s="2">
    <fb>45706</fb>
    <v>6</v>
  </rv>
  <rv s="2">
    <fb>45707</fb>
    <v>6</v>
  </rv>
  <rv s="2">
    <fb>45708</fb>
    <v>6</v>
  </rv>
  <rv s="2">
    <fb>45709</fb>
    <v>6</v>
  </rv>
  <rv s="2">
    <fb>45712</fb>
    <v>6</v>
  </rv>
  <rv s="2">
    <fb>45713</fb>
    <v>6</v>
  </rv>
  <rv s="2">
    <fb>45714</fb>
    <v>6</v>
  </rv>
  <rv s="2">
    <fb>45715</fb>
    <v>6</v>
  </rv>
  <rv s="2">
    <fb>45716</fb>
    <v>6</v>
  </rv>
  <rv s="2">
    <fb>45719</fb>
    <v>6</v>
  </rv>
  <rv s="2">
    <fb>45720</fb>
    <v>6</v>
  </rv>
  <rv s="2">
    <fb>45721</fb>
    <v>6</v>
  </rv>
  <rv s="2">
    <fb>45722</fb>
    <v>6</v>
  </rv>
  <rv s="2">
    <fb>45723</fb>
    <v>6</v>
  </rv>
  <rv s="2">
    <fb>45726</fb>
    <v>6</v>
  </rv>
  <rv s="2">
    <fb>45727</fb>
    <v>6</v>
  </rv>
  <rv s="2">
    <fb>45728</fb>
    <v>6</v>
  </rv>
  <rv s="2">
    <fb>45729</fb>
    <v>6</v>
  </rv>
  <rv s="2">
    <fb>45730</fb>
    <v>6</v>
  </rv>
  <rv s="2">
    <fb>45733</fb>
    <v>6</v>
  </rv>
  <rv s="2">
    <fb>45734</fb>
    <v>6</v>
  </rv>
  <rv s="2">
    <fb>45735</fb>
    <v>6</v>
  </rv>
  <rv s="2">
    <fb>45736</fb>
    <v>6</v>
  </rv>
  <rv s="2">
    <fb>45737</fb>
    <v>6</v>
  </rv>
  <rv s="2">
    <fb>45740</fb>
    <v>6</v>
  </rv>
  <rv s="2">
    <fb>45741</fb>
    <v>6</v>
  </rv>
  <rv s="2">
    <fb>45742</fb>
    <v>6</v>
  </rv>
  <rv s="2">
    <fb>45743</fb>
    <v>6</v>
  </rv>
  <rv s="2">
    <fb>45744</fb>
    <v>6</v>
  </rv>
  <rv s="2">
    <fb>45747</fb>
    <v>6</v>
  </rv>
  <rv s="2">
    <fb>45748</fb>
    <v>6</v>
  </rv>
  <rv s="2">
    <fb>45749</fb>
    <v>6</v>
  </rv>
  <rv s="2">
    <fb>45750</fb>
    <v>6</v>
  </rv>
  <rv s="2">
    <fb>45751</fb>
    <v>6</v>
  </rv>
  <rv s="2">
    <fb>45754</fb>
    <v>6</v>
  </rv>
  <rv s="2">
    <fb>45755</fb>
    <v>6</v>
  </rv>
  <rv s="2">
    <fb>45756</fb>
    <v>6</v>
  </rv>
  <rv s="2">
    <fb>45757</fb>
    <v>6</v>
  </rv>
  <rv s="2">
    <fb>45758</fb>
    <v>6</v>
  </rv>
  <rv s="2">
    <fb>45761</fb>
    <v>6</v>
  </rv>
  <rv s="2">
    <fb>45762</fb>
    <v>6</v>
  </rv>
  <rv s="2">
    <fb>45763</fb>
    <v>6</v>
  </rv>
  <rv s="2">
    <fb>45764</fb>
    <v>6</v>
  </rv>
  <rv s="2">
    <fb>45768</fb>
    <v>6</v>
  </rv>
  <rv s="2">
    <fb>45769</fb>
    <v>6</v>
  </rv>
  <rv s="2">
    <fb>45770</fb>
    <v>6</v>
  </rv>
  <rv s="2">
    <fb>45771</fb>
    <v>6</v>
  </rv>
  <rv s="2">
    <fb>45772</fb>
    <v>6</v>
  </rv>
  <rv s="2">
    <fb>45775</fb>
    <v>6</v>
  </rv>
  <rv s="2">
    <fb>45776</fb>
    <v>6</v>
  </rv>
  <rv s="2">
    <fb>45777</fb>
    <v>6</v>
  </rv>
  <rv s="2">
    <fb>45778</fb>
    <v>6</v>
  </rv>
  <rv s="2">
    <fb>45779</fb>
    <v>6</v>
  </rv>
  <rv s="2">
    <fb>45782</fb>
    <v>6</v>
  </rv>
  <rv s="2">
    <fb>45783</fb>
    <v>6</v>
  </rv>
  <rv s="2">
    <fb>45784</fb>
    <v>6</v>
  </rv>
  <rv s="2">
    <fb>45785</fb>
    <v>6</v>
  </rv>
  <rv s="2">
    <fb>45786</fb>
    <v>6</v>
  </rv>
  <rv s="2">
    <fb>45789</fb>
    <v>6</v>
  </rv>
  <rv s="2">
    <fb>45790</fb>
    <v>6</v>
  </rv>
  <rv s="2">
    <fb>45791</fb>
    <v>6</v>
  </rv>
  <rv s="2">
    <fb>45792</fb>
    <v>6</v>
  </rv>
  <rv s="2">
    <fb>45793</fb>
    <v>6</v>
  </rv>
  <rv s="2">
    <fb>45796</fb>
    <v>6</v>
  </rv>
  <rv s="2">
    <fb>45797</fb>
    <v>6</v>
  </rv>
  <rv s="2">
    <fb>45798</fb>
    <v>6</v>
  </rv>
  <rv s="2">
    <fb>45799</fb>
    <v>6</v>
  </rv>
  <rv s="2">
    <fb>45800</fb>
    <v>6</v>
  </rv>
  <rv s="2">
    <fb>45804</fb>
    <v>6</v>
  </rv>
  <rv s="2">
    <fb>45805</fb>
    <v>6</v>
  </rv>
  <rv s="2">
    <fb>45806</fb>
    <v>6</v>
  </rv>
  <rv s="2">
    <fb>45807</fb>
    <v>6</v>
  </rv>
  <rv s="2">
    <fb>45810</fb>
    <v>6</v>
  </rv>
  <rv s="2">
    <fb>45811</fb>
    <v>6</v>
  </rv>
  <rv s="2">
    <fb>45812</fb>
    <v>6</v>
  </rv>
  <rv s="2">
    <fb>45813</fb>
    <v>6</v>
  </rv>
  <rv s="2">
    <fb>45814</fb>
    <v>6</v>
  </rv>
  <rv s="2">
    <fb>45817</fb>
    <v>6</v>
  </rv>
  <rv s="2">
    <fb>45818</fb>
    <v>6</v>
  </rv>
  <rv s="2">
    <fb>45819</fb>
    <v>6</v>
  </rv>
  <rv s="2">
    <fb>45820</fb>
    <v>6</v>
  </rv>
  <rv s="2">
    <fb>45821</fb>
    <v>6</v>
  </rv>
  <rv s="2">
    <fb>45824</fb>
    <v>6</v>
  </rv>
  <rv s="2">
    <fb>45825</fb>
    <v>6</v>
  </rv>
  <rv s="2">
    <fb>45826</fb>
    <v>6</v>
  </rv>
  <rv s="2">
    <fb>45828</fb>
    <v>6</v>
  </rv>
  <rv s="2">
    <fb>45831</fb>
    <v>6</v>
  </rv>
  <rv s="2">
    <fb>45832</fb>
    <v>6</v>
  </rv>
  <rv s="2">
    <fb>45833</fb>
    <v>6</v>
  </rv>
  <rv s="2">
    <fb>45834</fb>
    <v>6</v>
  </rv>
  <rv s="2">
    <fb>45835</fb>
    <v>6</v>
  </rv>
  <rv s="2">
    <fb>45838</fb>
    <v>6</v>
  </rv>
  <rv s="2">
    <fb>45839</fb>
    <v>6</v>
  </rv>
  <rv s="2">
    <fb>45840</fb>
    <v>6</v>
  </rv>
  <rv s="2">
    <fb>45841</fb>
    <v>6</v>
  </rv>
  <rv s="2">
    <fb>45845</fb>
    <v>6</v>
  </rv>
  <rv s="2">
    <fb>45846</fb>
    <v>6</v>
  </rv>
  <rv s="2">
    <fb>45847</fb>
    <v>6</v>
  </rv>
  <rv s="2">
    <fb>45848</fb>
    <v>6</v>
  </rv>
  <rv s="2">
    <fb>45849</fb>
    <v>6</v>
  </rv>
  <rv s="2">
    <fb>45852</fb>
    <v>6</v>
  </rv>
  <rv s="2">
    <fb>45853</fb>
    <v>6</v>
  </rv>
  <rv s="2">
    <fb>45854</fb>
    <v>6</v>
  </rv>
  <rv s="2">
    <fb>45855</fb>
    <v>6</v>
  </rv>
  <rv s="2">
    <fb>45856</fb>
    <v>6</v>
  </rv>
  <rv s="2">
    <fb>45859</fb>
    <v>6</v>
  </rv>
  <rv s="2">
    <fb>45860</fb>
    <v>6</v>
  </rv>
  <rv s="2">
    <fb>45861</fb>
    <v>6</v>
  </rv>
  <rv s="2">
    <fb>45862</fb>
    <v>6</v>
  </rv>
  <rv s="2">
    <fb>45863</fb>
    <v>6</v>
  </rv>
  <rv s="2">
    <fb>45866</fb>
    <v>6</v>
  </rv>
  <rv s="2">
    <fb>45867</fb>
    <v>6</v>
  </rv>
  <rv s="2">
    <fb>45868</fb>
    <v>6</v>
  </rv>
  <rv s="2">
    <fb>45869</fb>
    <v>6</v>
  </rv>
  <rv s="2">
    <fb>45870</fb>
    <v>6</v>
  </rv>
  <rv s="2">
    <fb>45873</fb>
    <v>6</v>
  </rv>
  <rv s="2">
    <fb>45874</fb>
    <v>6</v>
  </rv>
  <rv s="2">
    <fb>45875</fb>
    <v>6</v>
  </rv>
  <rv s="2">
    <fb>45876</fb>
    <v>6</v>
  </rv>
  <rv s="2">
    <fb>45877</fb>
    <v>6</v>
  </rv>
  <rv s="2">
    <fb>45880</fb>
    <v>6</v>
  </rv>
  <rv s="2">
    <fb>45881</fb>
    <v>6</v>
  </rv>
  <rv s="2">
    <fb>45882</fb>
    <v>6</v>
  </rv>
  <rv s="2">
    <fb>45883</fb>
    <v>6</v>
  </rv>
  <rv s="2">
    <fb>45884</fb>
    <v>6</v>
  </rv>
  <rv s="2">
    <fb>45887</fb>
    <v>6</v>
  </rv>
  <rv s="2">
    <fb>45888</fb>
    <v>6</v>
  </rv>
  <rv s="2">
    <fb>45889</fb>
    <v>6</v>
  </rv>
  <rv s="2">
    <fb>45890</fb>
    <v>6</v>
  </rv>
  <rv s="2">
    <fb>45891</fb>
    <v>6</v>
  </rv>
  <rv s="2">
    <fb>45894</fb>
    <v>6</v>
  </rv>
  <rv s="2">
    <fb>45895</fb>
    <v>6</v>
  </rv>
  <rv s="2">
    <fb>45896</fb>
    <v>6</v>
  </rv>
  <rv s="2">
    <fb>45897</fb>
    <v>6</v>
  </rv>
  <rv s="2">
    <fb>45898</fb>
    <v>6</v>
  </rv>
  <rv s="2">
    <fb>45902</fb>
    <v>6</v>
  </rv>
  <rv s="2">
    <fb>45903</fb>
    <v>6</v>
  </rv>
  <rv s="2">
    <fb>45904</fb>
    <v>6</v>
  </rv>
  <rv s="2">
    <fb>45905</fb>
    <v>6</v>
  </rv>
  <rv s="2">
    <fb>45908</fb>
    <v>6</v>
  </rv>
  <rv s="2">
    <fb>45909</fb>
    <v>6</v>
  </rv>
  <rv s="2">
    <fb>45910</fb>
    <v>6</v>
  </rv>
  <rv s="2">
    <fb>45911</fb>
    <v>6</v>
  </rv>
  <rv s="2">
    <fb>45912</fb>
    <v>6</v>
  </rv>
  <rv s="2">
    <fb>45915</fb>
    <v>6</v>
  </rv>
  <rv s="2">
    <fb>45916</fb>
    <v>6</v>
  </rv>
  <rv s="2">
    <fb>45917</fb>
    <v>6</v>
  </rv>
  <rv s="2">
    <fb>45918</fb>
    <v>6</v>
  </rv>
  <rv s="2">
    <fb>45919</fb>
    <v>6</v>
  </rv>
  <rv s="2">
    <fb>45922</fb>
    <v>6</v>
  </rv>
  <rv s="2">
    <fb>45923</fb>
    <v>6</v>
  </rv>
  <rv s="2">
    <fb>45924</fb>
    <v>6</v>
  </rv>
  <rv s="2">
    <fb>45925</fb>
    <v>6</v>
  </rv>
  <rv s="2">
    <fb>45926</fb>
    <v>6</v>
  </rv>
  <rv s="2">
    <fb>45929</fb>
    <v>6</v>
  </rv>
  <rv s="2">
    <fb>45930</fb>
    <v>6</v>
  </rv>
  <rv s="2">
    <fb>45931</fb>
    <v>6</v>
  </rv>
  <rv s="2">
    <fb>45932</fb>
    <v>6</v>
  </rv>
  <rv s="2">
    <fb>45933</fb>
    <v>6</v>
  </rv>
  <rv s="2">
    <fb>45936</fb>
    <v>6</v>
  </rv>
  <rv s="2">
    <fb>45937</fb>
    <v>6</v>
  </rv>
  <rv s="2">
    <fb>45938</fb>
    <v>6</v>
  </rv>
  <rv s="2">
    <fb>45939</fb>
    <v>6</v>
  </rv>
  <rv s="2">
    <fb>45940</fb>
    <v>6</v>
  </rv>
  <rv s="2">
    <fb>45943</fb>
    <v>6</v>
  </rv>
  <rv s="2">
    <fb>45944</fb>
    <v>6</v>
  </rv>
  <rv s="2">
    <fb>45945</fb>
    <v>6</v>
  </rv>
  <rv s="2">
    <fb>45946</fb>
    <v>6</v>
  </rv>
  <rv s="2">
    <fb>45947</fb>
    <v>6</v>
  </rv>
  <rv s="2">
    <fb>45950</fb>
    <v>6</v>
  </rv>
  <rv s="2">
    <fb>45951</fb>
    <v>6</v>
  </rv>
  <rv s="2">
    <fb>45952</fb>
    <v>6</v>
  </rv>
  <rv s="2">
    <fb>45953</fb>
    <v>6</v>
  </rv>
  <rv s="2">
    <fb>45954</fb>
    <v>6</v>
  </rv>
  <rv s="2">
    <fb>45957</fb>
    <v>6</v>
  </rv>
  <rv s="2">
    <fb>45958</fb>
    <v>6</v>
  </rv>
  <rv s="2">
    <fb>45959</fb>
    <v>6</v>
  </rv>
  <rv s="2">
    <fb>45960</fb>
    <v>6</v>
  </rv>
  <rv s="2">
    <fb>45961</fb>
    <v>6</v>
  </rv>
  <rv s="2">
    <fb>45964</fb>
    <v>6</v>
  </rv>
  <rv s="2">
    <fb>45965</fb>
    <v>6</v>
  </rv>
  <rv s="2">
    <fb>45966</fb>
    <v>6</v>
  </rv>
  <rv s="2">
    <fb>45967</fb>
    <v>6</v>
  </rv>
  <rv s="2">
    <fb>45968</fb>
    <v>6</v>
  </rv>
  <rv s="3">
    <v>https://www.bing.com/financeapi/forcetrigger?t=a1nhlh&amp;q=XNAS%3aAMZN&amp;form=skydnc</v>
    <v>Learn more on Bing</v>
  </rv>
  <rv s="4">
    <v>7</v>
    <v>8</v>
    <v>AMAZON.COM, INC. (XNAS:AMZN)</v>
    <v>9</v>
    <v>10</v>
    <v>Finance</v>
    <v>11</v>
    <v>fr-FR</v>
    <v>a1nhlh</v>
    <v>268435456</v>
    <v>1</v>
    <v>Avec Refinitiv</v>
    <v>XNAS</v>
    <v>10690220000</v>
    <v>1996</v>
    <v>238.49</v>
    <v>161.38</v>
    <v>1.3604000000000001</v>
    <v>2612796000000</v>
    <v>Nasdaq Stock Market</v>
    <v>243.04</v>
    <v>AMZN</v>
    <v>45968.959830138279</v>
    <v>Amazon.com, Inc. fournit une gamme de produits et de services à ses clients. Les produits offerts dans ses magasins comprennent les marchandises et le contenu qu'elle a achetés pour la revente et les produits offerts par des vendeurs tiers. Les segments de la société comprennent l'Amérique du Nord, l'International et Amazon Web services (AWS). Il sert les consommateurs par le biais de ses magasins en ligne et physiques et se concentre sur la sélection, le prix et la commodité. Les clients accèdent à ses offres via ses sites Web, applications mobiles, Alexa, appareils, streaming, et en visitant physiquement ses magasins. Il fabrique et vend des appareils électroniques, y compris Kindle, Fire Tablet, Fire TV, Echo, Ring, Blink et eero, et elle développe et produit du contenu multimédia. Il sert les développeurs et les entreprises de toutes tailles, y compris les start-ups, les agences gouvernementales et les établissements universitaires, via AWS, qui offre un large éventail de services technologiques à la demande, y compris le calcul, le stockage, la base de données, l'analyse, et l'apprentissage automatique, et d'autres services.</v>
    <v>USD</v>
    <v>1578000</v>
    <v>XNAS</v>
    <v>244.9</v>
    <v>258.60000000000002</v>
    <v>Diversified Retail</v>
    <v>251</v>
    <v>5.6369999999999996E-3</v>
    <v>1.37</v>
    <v>AMAZON.COM, INC.</v>
    <v>AMAZON.COM, INC.</v>
    <v>242.9</v>
    <v>34.526299999999999</v>
    <v>244.41</v>
    <v>410 Terry Avenue North, SEATTLE, WA, 98109 US</v>
    <v>Bourse</v>
    <v>AMAZON.COM, INC. (XNAS:AMZN)</v>
    <v>864870</v>
    <v>53943145</v>
  </rv>
  <rv s="1">
    <v>252</v>
  </rv>
  <rv s="2">
    <fb>206.84</fb>
    <v>12</v>
  </rv>
  <rv s="2">
    <fb>208.91</fb>
    <v>12</v>
  </rv>
  <rv s="2">
    <fb>214.1</fb>
    <v>12</v>
  </rv>
  <rv s="2">
    <fb>211.48</fb>
    <v>12</v>
  </rv>
  <rv s="2">
    <fb>202.61</fb>
    <v>12</v>
  </rv>
  <rv s="2">
    <fb>201.7</fb>
    <v>12</v>
  </rv>
  <rv s="2">
    <fb>204.61</fb>
    <v>12</v>
  </rv>
  <rv s="2">
    <fb>202.88</fb>
    <v>12</v>
  </rv>
  <rv s="2">
    <fb>198.38</fb>
    <v>12</v>
  </rv>
  <rv s="2">
    <fb>197.12</fb>
    <v>12</v>
  </rv>
  <rv s="2">
    <fb>201.45</fb>
    <v>12</v>
  </rv>
  <rv s="2">
    <fb>207.86</fb>
    <v>12</v>
  </rv>
  <rv s="2">
    <fb>205.74</fb>
    <v>12</v>
  </rv>
  <rv s="2">
    <fb>207.89</fb>
    <v>12</v>
  </rv>
  <rv s="2">
    <fb>210.71</fb>
    <v>12</v>
  </rv>
  <rv s="2">
    <fb>213.44</fb>
    <v>12</v>
  </rv>
  <rv s="2">
    <fb>218.16</fb>
    <v>12</v>
  </rv>
  <rv s="2">
    <fb>220.55</fb>
    <v>12</v>
  </rv>
  <rv s="2">
    <fb>227.03</fb>
    <v>12</v>
  </rv>
  <rv s="2">
    <fb>226.09</fb>
    <v>12</v>
  </rv>
  <rv s="2">
    <fb>225.04</fb>
    <v>12</v>
  </rv>
  <rv s="2">
    <fb>230.26</fb>
    <v>12</v>
  </rv>
  <rv s="2">
    <fb>228.97</fb>
    <v>12</v>
  </rv>
  <rv s="2">
    <fb>227.46</fb>
    <v>12</v>
  </rv>
  <rv s="2">
    <fb>232.93</fb>
    <v>12</v>
  </rv>
  <rv s="2">
    <fb>231.15</fb>
    <v>12</v>
  </rv>
  <rv s="2">
    <fb>220.52</fb>
    <v>12</v>
  </rv>
  <rv s="2">
    <fb>223.29</fb>
    <v>12</v>
  </rv>
  <rv s="2">
    <fb>224.92</fb>
    <v>12</v>
  </rv>
  <rv s="2">
    <fb>225.06</fb>
    <v>12</v>
  </rv>
  <rv s="2">
    <fb>229.05</fb>
    <v>12</v>
  </rv>
  <rv s="2">
    <fb>227.05</fb>
    <v>12</v>
  </rv>
  <rv s="2">
    <fb>223.75</fb>
    <v>12</v>
  </rv>
  <rv s="2">
    <fb>221.3</fb>
    <v>12</v>
  </rv>
  <rv s="2">
    <fb>219.39</fb>
    <v>12</v>
  </rv>
  <rv s="2">
    <fb>220.22</fb>
    <v>12</v>
  </rv>
  <rv s="2">
    <fb>224.19</fb>
    <v>12</v>
  </rv>
  <rv s="2">
    <fb>227.61</fb>
    <v>12</v>
  </rv>
  <rv s="2">
    <fb>222.11</fb>
    <v>12</v>
  </rv>
  <rv s="2">
    <fb>222.13</fb>
    <v>12</v>
  </rv>
  <rv s="2">
    <fb>218.94</fb>
    <v>12</v>
  </rv>
  <rv s="2">
    <fb>218.46</fb>
    <v>12</v>
  </rv>
  <rv s="2">
    <fb>217.76</fb>
    <v>12</v>
  </rv>
  <rv s="2">
    <fb>223.35</fb>
    <v>12</v>
  </rv>
  <rv s="2">
    <fb>220.66</fb>
    <v>12</v>
  </rv>
  <rv s="2">
    <fb>225.94</fb>
    <v>12</v>
  </rv>
  <rv s="2">
    <fb>230.71</fb>
    <v>12</v>
  </rv>
  <rv s="2">
    <fb>235.01</fb>
    <v>12</v>
  </rv>
  <rv s="2">
    <fb>235.42</fb>
    <v>12</v>
  </rv>
  <rv s="2">
    <fb>234.85</fb>
    <v>12</v>
  </rv>
  <rv s="2">
    <fb>238.15</fb>
    <v>12</v>
  </rv>
  <rv s="2">
    <fb>237.07</fb>
    <v>12</v>
  </rv>
  <rv s="2">
    <fb>234.64</fb>
    <v>12</v>
  </rv>
  <rv s="2">
    <fb>237.68</fb>
    <v>12</v>
  </rv>
  <rv s="2">
    <fb>237.42</fb>
    <v>12</v>
  </rv>
  <rv s="2">
    <fb>242.06</fb>
    <v>12</v>
  </rv>
  <rv s="2">
    <fb>236.17</fb>
    <v>12</v>
  </rv>
  <rv s="2">
    <fb>238.83</fb>
    <v>12</v>
  </rv>
  <rv s="2">
    <fb>229.15</fb>
    <v>12</v>
  </rv>
  <rv s="2">
    <fb>233.14</fb>
    <v>12</v>
  </rv>
  <rv s="2">
    <fb>232.76</fb>
    <v>12</v>
  </rv>
  <rv s="2">
    <fb>228.93</fb>
    <v>12</v>
  </rv>
  <rv s="2">
    <fb>230.37</fb>
    <v>12</v>
  </rv>
  <rv s="2">
    <fb>228.68</fb>
    <v>12</v>
  </rv>
  <rv s="2">
    <fb>226.65</fb>
    <v>12</v>
  </rv>
  <rv s="2">
    <fb>226.63</fb>
    <v>12</v>
  </rv>
  <rv s="2">
    <fb>222.88</fb>
    <v>12</v>
  </rv>
  <rv s="2">
    <fb>216.58</fb>
    <v>12</v>
  </rv>
  <rv s="2">
    <fb>212.71</fb>
    <v>12</v>
  </rv>
  <rv s="2">
    <fb>212.8</fb>
    <v>12</v>
  </rv>
  <rv s="2">
    <fb>214.35</fb>
    <v>12</v>
  </rv>
  <rv s="2">
    <fb>208.74</fb>
    <v>12</v>
  </rv>
  <rv s="2">
    <fb>212.28</fb>
    <v>12</v>
  </rv>
  <rv s="2">
    <fb>205.02</fb>
    <v>12</v>
  </rv>
  <rv s="2">
    <fb>203.8</fb>
    <v>12</v>
  </rv>
  <rv s="2">
    <fb>208.36</fb>
    <v>12</v>
  </rv>
  <rv s="2">
    <fb>200.7</fb>
    <v>12</v>
  </rv>
  <rv s="2">
    <fb>199.25</fb>
    <v>12</v>
  </rv>
  <rv s="2">
    <fb>194.54</fb>
    <v>12</v>
  </rv>
  <rv s="2">
    <fb>196.59</fb>
    <v>12</v>
  </rv>
  <rv s="2">
    <fb>198.89</fb>
    <v>12</v>
  </rv>
  <rv s="2">
    <fb>193.89</fb>
    <v>12</v>
  </rv>
  <rv s="2">
    <fb>197.95</fb>
    <v>12</v>
  </rv>
  <rv s="2">
    <fb>195.74</fb>
    <v>12</v>
  </rv>
  <rv s="2">
    <fb>192.82</fb>
    <v>12</v>
  </rv>
  <rv s="2">
    <fb>195.54</fb>
    <v>12</v>
  </rv>
  <rv s="2">
    <fb>194.95</fb>
    <v>12</v>
  </rv>
  <rv s="2">
    <fb>196.21</fb>
    <v>12</v>
  </rv>
  <rv s="2">
    <fb>203.26</fb>
    <v>12</v>
  </rv>
  <rv s="2">
    <fb>205.71</fb>
    <v>12</v>
  </rv>
  <rv s="2">
    <fb>201.13</fb>
    <v>12</v>
  </rv>
  <rv s="2">
    <fb>201.36</fb>
    <v>12</v>
  </rv>
  <rv s="2">
    <fb>192.72</fb>
    <v>12</v>
  </rv>
  <rv s="2">
    <fb>190.26</fb>
    <v>12</v>
  </rv>
  <rv s="2">
    <fb>192.17</fb>
    <v>12</v>
  </rv>
  <rv s="2">
    <fb>196.01</fb>
    <v>12</v>
  </rv>
  <rv s="2">
    <fb>178.41</fb>
    <v>12</v>
  </rv>
  <rv s="2">
    <fb>171</fb>
    <v>12</v>
  </rv>
  <rv s="2">
    <fb>175.26</fb>
    <v>12</v>
  </rv>
  <rv s="2">
    <fb>170.66</fb>
    <v>12</v>
  </rv>
  <rv s="2">
    <fb>191.1</fb>
    <v>12</v>
  </rv>
  <rv s="2">
    <fb>181.22</fb>
    <v>12</v>
  </rv>
  <rv s="2">
    <fb>184.87</fb>
    <v>12</v>
  </rv>
  <rv s="2">
    <fb>182.12</fb>
    <v>12</v>
  </rv>
  <rv s="2">
    <fb>179.59</fb>
    <v>12</v>
  </rv>
  <rv s="2">
    <fb>174.33</fb>
    <v>12</v>
  </rv>
  <rv s="2">
    <fb>172.61</fb>
    <v>12</v>
  </rv>
  <rv s="2">
    <fb>167.32</fb>
    <v>12</v>
  </rv>
  <rv s="2">
    <fb>173.18</fb>
    <v>12</v>
  </rv>
  <rv s="2">
    <fb>180.6</fb>
    <v>12</v>
  </rv>
  <rv s="2">
    <fb>186.54</fb>
    <v>12</v>
  </rv>
  <rv s="2">
    <fb>188.99</fb>
    <v>12</v>
  </rv>
  <rv s="2">
    <fb>187.7</fb>
    <v>12</v>
  </rv>
  <rv s="2">
    <fb>187.39</fb>
    <v>12</v>
  </rv>
  <rv s="2">
    <fb>184.42</fb>
    <v>12</v>
  </rv>
  <rv s="2">
    <fb>190.2</fb>
    <v>12</v>
  </rv>
  <rv s="2">
    <fb>189.98</fb>
    <v>12</v>
  </rv>
  <rv s="2">
    <fb>186.35</fb>
    <v>12</v>
  </rv>
  <rv s="2">
    <fb>185.01</fb>
    <v>12</v>
  </rv>
  <rv s="2">
    <fb>188.71</fb>
    <v>12</v>
  </rv>
  <rv s="2">
    <fb>192.08</fb>
    <v>12</v>
  </rv>
  <rv s="2">
    <fb>193.06</fb>
    <v>12</v>
  </rv>
  <rv s="2">
    <fb>208.64</fb>
    <v>12</v>
  </rv>
  <rv s="2">
    <fb>211.37</fb>
    <v>12</v>
  </rv>
  <rv s="2">
    <fb>210.25</fb>
    <v>12</v>
  </rv>
  <rv s="2">
    <fb>205.17</fb>
    <v>12</v>
  </rv>
  <rv s="2">
    <fb>205.59</fb>
    <v>12</v>
  </rv>
  <rv s="2">
    <fb>206.16</fb>
    <v>12</v>
  </rv>
  <rv s="2">
    <fb>204.07</fb>
    <v>12</v>
  </rv>
  <rv s="2">
    <fb>201.12</fb>
    <v>12</v>
  </rv>
  <rv s="2">
    <fb>203.1</fb>
    <v>12</v>
  </rv>
  <rv s="2">
    <fb>200.99</fb>
    <v>12</v>
  </rv>
  <rv s="2">
    <fb>206.02</fb>
    <v>12</v>
  </rv>
  <rv s="2">
    <fb>204.72</fb>
    <v>12</v>
  </rv>
  <rv s="2">
    <fb>205.7</fb>
    <v>12</v>
  </rv>
  <rv s="2">
    <fb>205.01</fb>
    <v>12</v>
  </rv>
  <rv s="2">
    <fb>206.65</fb>
    <v>12</v>
  </rv>
  <rv s="2">
    <fb>207.23</fb>
    <v>12</v>
  </rv>
  <rv s="2">
    <fb>207.91</fb>
    <v>12</v>
  </rv>
  <rv s="2">
    <fb>213.57</fb>
    <v>12</v>
  </rv>
  <rv s="2">
    <fb>216.98</fb>
    <v>12</v>
  </rv>
  <rv s="2">
    <fb>217.61</fb>
    <v>12</v>
  </rv>
  <rv s="2">
    <fb>213.2</fb>
    <v>12</v>
  </rv>
  <rv s="2">
    <fb>213.24</fb>
    <v>12</v>
  </rv>
  <rv s="2">
    <fb>212.1</fb>
    <v>12</v>
  </rv>
  <rv s="2">
    <fb>216.1</fb>
    <v>12</v>
  </rv>
  <rv s="2">
    <fb>214.82</fb>
    <v>12</v>
  </rv>
  <rv s="2">
    <fb>212.52</fb>
    <v>12</v>
  </rv>
  <rv s="2">
    <fb>209.69</fb>
    <v>12</v>
  </rv>
  <rv s="2">
    <fb>208.47</fb>
    <v>12</v>
  </rv>
  <rv s="2">
    <fb>212.77</fb>
    <v>12</v>
  </rv>
  <rv s="2">
    <fb>211.99</fb>
    <v>12</v>
  </rv>
  <rv s="2">
    <fb>217.12</fb>
    <v>12</v>
  </rv>
  <rv s="2">
    <fb>223.3</fb>
    <v>12</v>
  </rv>
  <rv s="2">
    <fb>220.46</fb>
    <v>12</v>
  </rv>
  <rv s="2">
    <fb>219.92</fb>
    <v>12</v>
  </rv>
  <rv s="2">
    <fb>223.41</fb>
    <v>12</v>
  </rv>
  <rv s="2">
    <fb>223.47</fb>
    <v>12</v>
  </rv>
  <rv s="2">
    <fb>219.36</fb>
    <v>12</v>
  </rv>
  <rv s="2">
    <fb>222.54</fb>
    <v>12</v>
  </rv>
  <rv s="2">
    <fb>222.26</fb>
    <v>12</v>
  </rv>
  <rv s="2">
    <fb>225.02</fb>
    <v>12</v>
  </rv>
  <rv s="2">
    <fb>225.69</fb>
    <v>12</v>
  </rv>
  <rv s="2">
    <fb>226.35</fb>
    <v>12</v>
  </rv>
  <rv s="2">
    <fb>223.19</fb>
    <v>12</v>
  </rv>
  <rv s="2">
    <fb>223.88</fb>
    <v>12</v>
  </rv>
  <rv s="2">
    <fb>226.13</fb>
    <v>12</v>
  </rv>
  <rv s="2">
    <fb>229.3</fb>
    <v>12</v>
  </rv>
  <rv s="2">
    <fb>227.47</fb>
    <v>12</v>
  </rv>
  <rv s="2">
    <fb>228.29</fb>
    <v>12</v>
  </rv>
  <rv s="2">
    <fb>232.23</fb>
    <v>12</v>
  </rv>
  <rv s="2">
    <fb>231.44</fb>
    <v>12</v>
  </rv>
  <rv s="2">
    <fb>232.79</fb>
    <v>12</v>
  </rv>
  <rv s="2">
    <fb>231.01</fb>
    <v>12</v>
  </rv>
  <rv s="2">
    <fb>230.19</fb>
    <v>12</v>
  </rv>
  <rv s="2">
    <fb>234.11</fb>
    <v>12</v>
  </rv>
  <rv s="2">
    <fb>214.75</fb>
    <v>12</v>
  </rv>
  <rv s="2">
    <fb>211.65</fb>
    <v>12</v>
  </rv>
  <rv s="2">
    <fb>213.75</fb>
    <v>12</v>
  </rv>
  <rv s="2">
    <fb>222.31</fb>
    <v>12</v>
  </rv>
  <rv s="2">
    <fb>223.13</fb>
    <v>12</v>
  </rv>
  <rv s="2">
    <fb>222.69</fb>
    <v>12</v>
  </rv>
  <rv s="2">
    <fb>221.47</fb>
    <v>12</v>
  </rv>
  <rv s="2">
    <fb>224.56</fb>
    <v>12</v>
  </rv>
  <rv s="2">
    <fb>230.98</fb>
    <v>12</v>
  </rv>
  <rv s="2">
    <fb>231.03</fb>
    <v>12</v>
  </rv>
  <rv s="2">
    <fb>231.49</fb>
    <v>12</v>
  </rv>
  <rv s="2">
    <fb>228.01</fb>
    <v>12</v>
  </rv>
  <rv s="2">
    <fb>223.81</fb>
    <v>12</v>
  </rv>
  <rv s="2">
    <fb>221.95</fb>
    <v>12</v>
  </rv>
  <rv s="2">
    <fb>228.84</fb>
    <v>12</v>
  </rv>
  <rv s="2">
    <fb>227.94</fb>
    <v>12</v>
  </rv>
  <rv s="2">
    <fb>228.71</fb>
    <v>12</v>
  </rv>
  <rv s="2">
    <fb>229.12</fb>
    <v>12</v>
  </rv>
  <rv s="2">
    <fb>231.6</fb>
    <v>12</v>
  </rv>
  <rv s="2">
    <fb>229</fb>
    <v>12</v>
  </rv>
  <rv s="2">
    <fb>225.34</fb>
    <v>12</v>
  </rv>
  <rv s="2">
    <fb>225.99</fb>
    <v>12</v>
  </rv>
  <rv s="2">
    <fb>235.68</fb>
    <v>12</v>
  </rv>
  <rv s="2">
    <fb>232.33</fb>
    <v>12</v>
  </rv>
  <rv s="2">
    <fb>235.84</fb>
    <v>12</v>
  </rv>
  <rv s="2">
    <fb>238.24</fb>
    <v>12</v>
  </rv>
  <rv s="2">
    <fb>230.33</fb>
    <v>12</v>
  </rv>
  <rv s="2">
    <fb>229.95</fb>
    <v>12</v>
  </rv>
  <rv s="2">
    <fb>228.15</fb>
    <v>12</v>
  </rv>
  <rv s="2">
    <fb>231.43</fb>
    <v>12</v>
  </rv>
  <rv s="2">
    <fb>234.05</fb>
    <v>12</v>
  </rv>
  <rv s="2">
    <fb>231.62</fb>
    <v>12</v>
  </rv>
  <rv s="2">
    <fb>231.23</fb>
    <v>12</v>
  </rv>
  <rv s="2">
    <fb>231.48</fb>
    <v>12</v>
  </rv>
  <rv s="2">
    <fb>227.63</fb>
    <v>12</v>
  </rv>
  <rv s="2">
    <fb>220.71</fb>
    <v>12</v>
  </rv>
  <rv s="2">
    <fb>220.21</fb>
    <v>12</v>
  </rv>
  <rv s="2">
    <fb>218.15</fb>
    <v>12</v>
  </rv>
  <rv s="2">
    <fb>219.78</fb>
    <v>12</v>
  </rv>
  <rv s="2">
    <fb>222.17</fb>
    <v>12</v>
  </rv>
  <rv s="2">
    <fb>219.57</fb>
    <v>12</v>
  </rv>
  <rv s="2">
    <fb>220.63</fb>
    <v>12</v>
  </rv>
  <rv s="2">
    <fb>222.41</fb>
    <v>12</v>
  </rv>
  <rv s="2">
    <fb>219.51</fb>
    <v>12</v>
  </rv>
  <rv s="2">
    <fb>220.9</fb>
    <v>12</v>
  </rv>
  <rv s="2">
    <fb>221.78</fb>
    <v>12</v>
  </rv>
  <rv s="2">
    <fb>225.22</fb>
    <v>12</v>
  </rv>
  <rv s="2">
    <fb>227.74</fb>
    <v>12</v>
  </rv>
  <rv s="2">
    <fb>216.37</fb>
    <v>12</v>
  </rv>
  <rv s="2">
    <fb>220.07</fb>
    <v>12</v>
  </rv>
  <rv s="2">
    <fb>216.39</fb>
    <v>12</v>
  </rv>
  <rv s="2">
    <fb>215.57</fb>
    <v>12</v>
  </rv>
  <rv s="2">
    <fb>214.47</fb>
    <v>12</v>
  </rv>
  <rv s="2">
    <fb>213.04</fb>
    <v>12</v>
  </rv>
  <rv s="2">
    <fb>216.48</fb>
    <v>12</v>
  </rv>
  <rv s="2">
    <fb>222.03</fb>
    <v>12</v>
  </rv>
  <rv s="2">
    <fb>217.95</fb>
    <v>12</v>
  </rv>
  <rv s="2">
    <fb>221.09</fb>
    <v>12</v>
  </rv>
  <rv s="2">
    <fb>224.21</fb>
    <v>12</v>
  </rv>
  <rv s="2">
    <fb>226.97</fb>
    <v>12</v>
  </rv>
  <rv s="2">
    <fb>229.25</fb>
    <v>12</v>
  </rv>
  <rv s="2">
    <fb>230.3</fb>
    <v>12</v>
  </rv>
  <rv s="2">
    <fb>222.86</fb>
    <v>12</v>
  </rv>
  <rv s="2">
    <fb>244.22</fb>
    <v>12</v>
  </rv>
  <rv s="2">
    <fb>254</fb>
    <v>12</v>
  </rv>
  <rv s="2">
    <fb>249.32</fb>
    <v>12</v>
  </rv>
  <rv s="2">
    <fb>250.2</fb>
    <v>12</v>
  </rv>
  <rv s="2">
    <fb>243.04</fb>
    <v>12</v>
  </rv>
  <rv s="2">
    <fb>244.41</fb>
    <v>12</v>
  </rv>
  <rv s="3">
    <v>https://www.bing.com/financeapi/forcetrigger?t=ae7w1h&amp;q=XPAR%3aBNP&amp;form=skydnc</v>
    <v>Learn more on Bing</v>
  </rv>
  <rv s="4">
    <v>7</v>
    <v>8</v>
    <v>BNP PARIBAS SA (XPAR:BNP)</v>
    <v>9</v>
    <v>13</v>
    <v>Finance</v>
    <v>14</v>
    <v>fr-FR</v>
    <v>ae7w1h</v>
    <v>268435456</v>
    <v>1</v>
    <v>Avec Refinitiv</v>
    <v>XPAR</v>
    <v>1116785000</v>
    <v>1966</v>
    <v>66.34</v>
    <v>54.63</v>
    <v>1.2621</v>
    <v>73138230000</v>
    <v>Euronext Paris</v>
    <v>65.489999999999995</v>
    <v>BNP</v>
    <v>45971.591898148145</v>
    <v>BNP Paribas SA est une institution bancaire internationale basée en France. La société organise ses activités en trois grands domaines d’activité : les services bancaires aux entreprises et institutionnels (CIB), les services bancaires aux particuliers et aux entreprises (CPBS) et les services de protection des investissements (IPS). La CIB comprend les services bancaires mondiaux, les marchés mondiaux et les services de valeurs mobilières. CBPS couvre les services bancaires commerciaux et personnels en France, en Belgique, en Italie, au Luxembourg et dans la zone euro-méditerranéenne. IPS fournit des services tels que la gestion de patrimoine, la gestion d’actifs, l’immobilier et les placements principaux.</v>
    <v>EUR</v>
    <v>177952</v>
    <v>XPAR</v>
    <v>67.650000000000006</v>
    <v>84.7</v>
    <v>Banking Services</v>
    <v>499</v>
    <v>3.0692000000000001E-2</v>
    <v>2.0099999999999998</v>
    <v>BNP PARIBAS SA</v>
    <v>BNP PARIBAS SA</v>
    <v>66.7</v>
    <v>7.0720999999999998</v>
    <v>67.5</v>
    <v>16 Boulevard Des Italiens, Paris 9, PARIS, ILE-DE-FRANCE, 75009 FR</v>
    <v>Bourse</v>
    <v>BNP PARIBAS SA (XPAR:BNP)</v>
    <v>947203</v>
    <v>3251680</v>
  </rv>
  <rv s="1">
    <v>500</v>
  </rv>
  <rv s="2">
    <fb>60.94</fb>
    <v>15</v>
  </rv>
  <rv s="2">
    <fb>59.38</fb>
    <v>15</v>
  </rv>
  <rv s="2">
    <fb>59.12</fb>
    <v>15</v>
  </rv>
  <rv s="2">
    <fb>59.47</fb>
    <v>15</v>
  </rv>
  <rv s="2">
    <fb>60.11</fb>
    <v>15</v>
  </rv>
  <rv s="2">
    <fb>60.42</fb>
    <v>15</v>
  </rv>
  <rv s="2">
    <fb>59.31</fb>
    <v>15</v>
  </rv>
  <rv s="2">
    <fb>58.49</fb>
    <v>15</v>
  </rv>
  <rv s="2">
    <fb>58.22</fb>
    <v>15</v>
  </rv>
  <rv s="2">
    <fb>56.92</fb>
    <v>15</v>
  </rv>
  <rv s="2">
    <fb>56.98</fb>
    <v>15</v>
  </rv>
  <rv s="2">
    <fb>56.3</fb>
    <v>15</v>
  </rv>
  <rv s="2">
    <fb>55.63</fb>
    <v>15</v>
  </rv>
  <rv s="2">
    <fb>56.14</fb>
    <v>15</v>
  </rv>
  <rv s="2">
    <fb>56.64</fb>
    <v>15</v>
  </rv>
  <rv s="2">
    <fb>55.94</fb>
    <v>15</v>
  </rv>
  <rv s="2">
    <fb>55.78</fb>
    <v>15</v>
  </rv>
  <rv s="2">
    <fb>56.5</fb>
    <v>15</v>
  </rv>
  <rv s="2">
    <fb>57.97</fb>
    <v>15</v>
  </rv>
  <rv s="2">
    <fb>58.57</fb>
    <v>15</v>
  </rv>
  <rv s="2">
    <fb>60.06</fb>
    <v>15</v>
  </rv>
  <rv s="2">
    <fb>59.7</fb>
    <v>15</v>
  </rv>
  <rv s="2">
    <fb>59.59</fb>
    <v>15</v>
  </rv>
  <rv s="2">
    <fb>58.92</fb>
    <v>15</v>
  </rv>
  <rv s="2">
    <fb>58.94</fb>
    <v>15</v>
  </rv>
  <rv s="2">
    <fb>58.82</fb>
    <v>15</v>
  </rv>
  <rv s="2">
    <fb>58.25</fb>
    <v>15</v>
  </rv>
  <rv s="2">
    <fb>58.63</fb>
    <v>15</v>
  </rv>
  <rv s="2">
    <fb>57.81</fb>
    <v>15</v>
  </rv>
  <rv s="2">
    <fb>57.48</fb>
    <v>15</v>
  </rv>
  <rv s="2">
    <fb>57.44</fb>
    <v>15</v>
  </rv>
  <rv s="2">
    <fb>57.54</fb>
    <v>15</v>
  </rv>
  <rv s="2">
    <fb>58.54</fb>
    <v>15</v>
  </rv>
  <rv s="2">
    <fb>58.73</fb>
    <v>15</v>
  </rv>
  <rv s="2">
    <fb>59.22</fb>
    <v>15</v>
  </rv>
  <rv s="2">
    <fb>59.25</fb>
    <v>15</v>
  </rv>
  <rv s="2">
    <fb>60.03</fb>
    <v>15</v>
  </rv>
  <rv s="2">
    <fb>60.4</fb>
    <v>15</v>
  </rv>
  <rv s="2">
    <fb>60.14</fb>
    <v>15</v>
  </rv>
  <rv s="2">
    <fb>59.95</fb>
    <v>15</v>
  </rv>
  <rv s="2">
    <fb>59.35</fb>
    <v>15</v>
  </rv>
  <rv s="2">
    <fb>59.64</fb>
    <v>15</v>
  </rv>
  <rv s="2">
    <fb>60.81</fb>
    <v>15</v>
  </rv>
  <rv s="2">
    <fb>62.08</fb>
    <v>15</v>
  </rv>
  <rv s="2">
    <fb>62.21</fb>
    <v>15</v>
  </rv>
  <rv s="2">
    <fb>62.24</fb>
    <v>15</v>
  </rv>
  <rv s="2">
    <fb>62.95</fb>
    <v>15</v>
  </rv>
  <rv s="2">
    <fb>63.11</fb>
    <v>15</v>
  </rv>
  <rv s="2">
    <fb>62.31</fb>
    <v>15</v>
  </rv>
  <rv s="2">
    <fb>63.38</fb>
    <v>15</v>
  </rv>
  <rv s="2">
    <fb>63.61</fb>
    <v>15</v>
  </rv>
  <rv s="2">
    <fb>64.23</fb>
    <v>15</v>
  </rv>
  <rv s="2">
    <fb>64.58</fb>
    <v>15</v>
  </rv>
  <rv s="2">
    <fb>64.67</fb>
    <v>15</v>
  </rv>
  <rv s="2">
    <fb>65.66</fb>
    <v>15</v>
  </rv>
  <rv s="2">
    <fb>65.72</fb>
    <v>15</v>
  </rv>
  <rv s="2">
    <fb>64.319999999999993</fb>
    <v>15</v>
  </rv>
  <rv s="2">
    <fb>67.05</fb>
    <v>15</v>
  </rv>
  <rv s="2">
    <fb>66.400000000000006</fb>
    <v>15</v>
  </rv>
  <rv s="2">
    <fb>68.260000000000005</fb>
    <v>15</v>
  </rv>
  <rv s="2">
    <fb>69.45</fb>
    <v>15</v>
  </rv>
  <rv s="2">
    <fb>69.489999999999995</fb>
    <v>15</v>
  </rv>
  <rv s="2">
    <fb>70.13</fb>
    <v>15</v>
  </rv>
  <rv s="2">
    <fb>70.94</fb>
    <v>15</v>
  </rv>
  <rv s="2">
    <fb>70.099999999999994</fb>
    <v>15</v>
  </rv>
  <rv s="2">
    <fb>69.95</fb>
    <v>15</v>
  </rv>
  <rv s="2">
    <fb>69.83</fb>
    <v>15</v>
  </rv>
  <rv s="2">
    <fb>71.09</fb>
    <v>15</v>
  </rv>
  <rv s="2">
    <fb>70.3</fb>
    <v>15</v>
  </rv>
  <rv s="2">
    <fb>70.87</fb>
    <v>15</v>
  </rv>
  <rv s="2">
    <fb>71.12</fb>
    <v>15</v>
  </rv>
  <rv s="2">
    <fb>71.08</fb>
    <v>15</v>
  </rv>
  <rv s="2">
    <fb>72.11</fb>
    <v>15</v>
  </rv>
  <rv s="2">
    <fb>72.72</fb>
    <v>15</v>
  </rv>
  <rv s="2">
    <fb>72.61</fb>
    <v>15</v>
  </rv>
  <rv s="2">
    <fb>72.86</fb>
    <v>15</v>
  </rv>
  <rv s="2">
    <fb>74.02</fb>
    <v>15</v>
  </rv>
  <rv s="2">
    <fb>71.69</fb>
    <v>15</v>
  </rv>
  <rv s="2">
    <fb>74.66</fb>
    <v>15</v>
  </rv>
  <rv s="2">
    <fb>77.17</fb>
    <v>15</v>
  </rv>
  <rv s="2">
    <fb>76.569999999999993</fb>
    <v>15</v>
  </rv>
  <rv s="2">
    <fb>74.44</fb>
    <v>15</v>
  </rv>
  <rv s="2">
    <fb>72.959999999999994</fb>
    <v>15</v>
  </rv>
  <rv s="2">
    <fb>73.69</fb>
    <v>15</v>
  </rv>
  <rv s="2">
    <fb>73.55</fb>
    <v>15</v>
  </rv>
  <rv s="2">
    <fb>75.72</fb>
    <v>15</v>
  </rv>
  <rv s="2">
    <fb>77.91</fb>
    <v>15</v>
  </rv>
  <rv s="2">
    <fb>80.209999999999994</fb>
    <v>15</v>
  </rv>
  <rv s="2">
    <fb>80.86</fb>
    <v>15</v>
  </rv>
  <rv s="2">
    <fb>79.05</fb>
    <v>15</v>
  </rv>
  <rv s="2">
    <fb>79.72</fb>
    <v>15</v>
  </rv>
  <rv s="2">
    <fb>79.430000000000007</fb>
    <v>15</v>
  </rv>
  <rv s="2">
    <fb>81.58</fb>
    <v>15</v>
  </rv>
  <rv s="2">
    <fb>80.400000000000006</fb>
    <v>15</v>
  </rv>
  <rv s="2">
    <fb>79.67</fb>
    <v>15</v>
  </rv>
  <rv s="2">
    <fb>78.55</fb>
    <v>15</v>
  </rv>
  <rv s="2">
    <fb>76.91</fb>
    <v>15</v>
  </rv>
  <rv s="2">
    <fb>78.489999999999995</fb>
    <v>15</v>
  </rv>
  <rv s="2">
    <fb>77.75</fb>
    <v>15</v>
  </rv>
  <rv s="2">
    <fb>73.7</fb>
    <v>15</v>
  </rv>
  <rv s="2">
    <fb>68.67</fb>
    <v>15</v>
  </rv>
  <rv s="2">
    <fb>66.099999999999994</fb>
    <v>15</v>
  </rv>
  <rv s="2">
    <fb>66.19</fb>
    <v>15</v>
  </rv>
  <rv s="2">
    <fb>63.78</fb>
    <v>15</v>
  </rv>
  <rv s="2">
    <fb>67.23</fb>
    <v>15</v>
  </rv>
  <rv s="2">
    <fb>65.61</fb>
    <v>15</v>
  </rv>
  <rv s="2">
    <fb>68.5</fb>
    <v>15</v>
  </rv>
  <rv s="2">
    <fb>70.58</fb>
    <v>15</v>
  </rv>
  <rv s="2">
    <fb>71.58</fb>
    <v>15</v>
  </rv>
  <rv s="2">
    <fb>70.739999999999995</fb>
    <v>15</v>
  </rv>
  <rv s="2">
    <fb>71.62</fb>
    <v>15</v>
  </rv>
  <rv s="2">
    <fb>73.819999999999993</fb>
    <v>15</v>
  </rv>
  <rv s="2">
    <fb>72.23</fb>
    <v>15</v>
  </rv>
  <rv s="2">
    <fb>72.81</fb>
    <v>15</v>
  </rv>
  <rv s="2">
    <fb>74.099999999999994</fb>
    <v>15</v>
  </rv>
  <rv s="2">
    <fb>74.8</fb>
    <v>15</v>
  </rv>
  <rv s="2">
    <fb>74.290000000000006</fb>
    <v>15</v>
  </rv>
  <rv s="2">
    <fb>76.36</fb>
    <v>15</v>
  </rv>
  <rv s="2">
    <fb>76</fb>
    <v>15</v>
  </rv>
  <rv s="2">
    <fb>76.02</fb>
    <v>15</v>
  </rv>
  <rv s="2">
    <fb>77</fb>
    <v>15</v>
  </rv>
  <rv s="2">
    <fb>77.5</fb>
    <v>15</v>
  </rv>
  <rv s="2">
    <fb>79.08</fb>
    <v>15</v>
  </rv>
  <rv s="2">
    <fb>79.92</fb>
    <v>15</v>
  </rv>
  <rv s="2">
    <fb>79.599999999999994</fb>
    <v>15</v>
  </rv>
  <rv s="2">
    <fb>79.39</fb>
    <v>15</v>
  </rv>
  <rv s="2">
    <fb>77.150000000000006</fb>
    <v>15</v>
  </rv>
  <rv s="2">
    <fb>77.64</fb>
    <v>15</v>
  </rv>
  <rv s="2">
    <fb>77.94</fb>
    <v>15</v>
  </rv>
  <rv s="2">
    <fb>75.84</fb>
    <v>15</v>
  </rv>
  <rv s="2">
    <fb>77.22</fb>
    <v>15</v>
  </rv>
  <rv s="2">
    <fb>77.42</fb>
    <v>15</v>
  </rv>
  <rv s="2">
    <fb>76.58</fb>
    <v>15</v>
  </rv>
  <rv s="2">
    <fb>76.83</fb>
    <v>15</v>
  </rv>
  <rv s="2">
    <fb>77.14</fb>
    <v>15</v>
  </rv>
  <rv s="2">
    <fb>76.709999999999994</fb>
    <v>15</v>
  </rv>
  <rv s="2">
    <fb>76.64</fb>
    <v>15</v>
  </rv>
  <rv s="2">
    <fb>78.14</fb>
    <v>15</v>
  </rv>
  <rv s="2">
    <fb>76.290000000000006</fb>
    <v>15</v>
  </rv>
  <rv s="2">
    <fb>76.22</fb>
    <v>15</v>
  </rv>
  <rv s="2">
    <fb>76.48</fb>
    <v>15</v>
  </rv>
  <rv s="2">
    <fb>75.28</fb>
    <v>15</v>
  </rv>
  <rv s="2">
    <fb>75.97</fb>
    <v>15</v>
  </rv>
  <rv s="2">
    <fb>74.64</fb>
    <v>15</v>
  </rv>
  <rv s="2">
    <fb>74.3</fb>
    <v>15</v>
  </rv>
  <rv s="2">
    <fb>73.08</fb>
    <v>15</v>
  </rv>
  <rv s="2">
    <fb>75.38</fb>
    <v>15</v>
  </rv>
  <rv s="2">
    <fb>75.209999999999994</fb>
    <v>15</v>
  </rv>
  <rv s="2">
    <fb>75.27</fb>
    <v>15</v>
  </rv>
  <rv s="2">
    <fb>76.900000000000006</fb>
    <v>15</v>
  </rv>
  <rv s="2">
    <fb>76.319999999999993</fb>
    <v>15</v>
  </rv>
  <rv s="2">
    <fb>75.2</fb>
    <v>15</v>
  </rv>
  <rv s="2">
    <fb>76.63</fb>
    <v>15</v>
  </rv>
  <rv s="2">
    <fb>74.88</fb>
    <v>15</v>
  </rv>
  <rv s="2">
    <fb>75.94</fb>
    <v>15</v>
  </rv>
  <rv s="2">
    <fb>76.41</fb>
    <v>15</v>
  </rv>
  <rv s="2">
    <fb>78.87</fb>
    <v>15</v>
  </rv>
  <rv s="2">
    <fb>76.599999999999994</fb>
    <v>15</v>
  </rv>
  <rv s="2">
    <fb>76.680000000000007</fb>
    <v>15</v>
  </rv>
  <rv s="2">
    <fb>76.23</fb>
    <v>15</v>
  </rv>
  <rv s="2">
    <fb>76.08</fb>
    <v>15</v>
  </rv>
  <rv s="2">
    <fb>77.84</fb>
    <v>15</v>
  </rv>
  <rv s="2">
    <fb>77.739999999999995</fb>
    <v>15</v>
  </rv>
  <rv s="2">
    <fb>77.08</fb>
    <v>15</v>
  </rv>
  <rv s="2">
    <fb>78.48</fb>
    <v>15</v>
  </rv>
  <rv s="2">
    <fb>78.790000000000006</fb>
    <v>15</v>
  </rv>
  <rv s="2">
    <fb>77.38</fb>
    <v>15</v>
  </rv>
  <rv s="2">
    <fb>79.069999999999993</fb>
    <v>15</v>
  </rv>
  <rv s="2">
    <fb>80.06</fb>
    <v>15</v>
  </rv>
  <rv s="2">
    <fb>76.53</fb>
    <v>15</v>
  </rv>
  <rv s="2">
    <fb>78.5</fb>
    <v>15</v>
  </rv>
  <rv s="2">
    <fb>78.38</fb>
    <v>15</v>
  </rv>
  <rv s="2">
    <fb>79.3</fb>
    <v>15</v>
  </rv>
  <rv s="2">
    <fb>79.5</fb>
    <v>15</v>
  </rv>
  <rv s="2">
    <fb>81.5</fb>
    <v>15</v>
  </rv>
  <rv s="2">
    <fb>81.55</fb>
    <v>15</v>
  </rv>
  <rv s="2">
    <fb>81.75</fb>
    <v>15</v>
  </rv>
  <rv s="2">
    <fb>82.94</fb>
    <v>15</v>
  </rv>
  <rv s="2">
    <fb>83.94</fb>
    <v>15</v>
  </rv>
  <rv s="2">
    <fb>83.7</fb>
    <v>15</v>
  </rv>
  <rv s="2">
    <fb>82.29</fb>
    <v>15</v>
  </rv>
  <rv s="2">
    <fb>82.86</fb>
    <v>15</v>
  </rv>
  <rv s="2">
    <fb>83.31</fb>
    <v>15</v>
  </rv>
  <rv s="2">
    <fb>82.72</fb>
    <v>15</v>
  </rv>
  <rv s="2">
    <fb>83.38</fb>
    <v>15</v>
  </rv>
  <rv s="2">
    <fb>80.430000000000007</fb>
    <v>15</v>
  </rv>
  <rv s="2">
    <fb>77.03</fb>
    <v>15</v>
  </rv>
  <rv s="2">
    <fb>77.05</fb>
    <v>15</v>
  </rv>
  <rv s="2">
    <fb>76.19</fb>
    <v>15</v>
  </rv>
  <rv s="2">
    <fb>77.56</fb>
    <v>15</v>
  </rv>
  <rv s="2">
    <fb>76.52</fb>
    <v>15</v>
  </rv>
  <rv s="2">
    <fb>76.7</fb>
    <v>15</v>
  </rv>
  <rv s="2">
    <fb>77.87</fb>
    <v>15</v>
  </rv>
  <rv s="2">
    <fb>78.16</fb>
    <v>15</v>
  </rv>
  <rv s="2">
    <fb>79.41</fb>
    <v>15</v>
  </rv>
  <rv s="2">
    <fb>80.33</fb>
    <v>15</v>
  </rv>
  <rv s="2">
    <fb>79.17</fb>
    <v>15</v>
  </rv>
  <rv s="2">
    <fb>77.67</fb>
    <v>15</v>
  </rv>
  <rv s="2">
    <fb>78.39</fb>
    <v>15</v>
  </rv>
  <rv s="2">
    <fb>78.680000000000007</fb>
    <v>15</v>
  </rv>
  <rv s="2">
    <fb>78.930000000000007</fb>
    <v>15</v>
  </rv>
  <rv s="2">
    <fb>78.22</fb>
    <v>15</v>
  </rv>
  <rv s="2">
    <fb>78.430000000000007</fb>
    <v>15</v>
  </rv>
  <rv s="2">
    <fb>77.540000000000006</fb>
    <v>15</v>
  </rv>
  <rv s="2">
    <fb>77.45</fb>
    <v>15</v>
  </rv>
  <rv s="2">
    <fb>77.33</fb>
    <v>15</v>
  </rv>
  <rv s="2">
    <fb>78.34</fb>
    <v>15</v>
  </rv>
  <rv s="2">
    <fb>77.53</fb>
    <v>15</v>
  </rv>
  <rv s="2">
    <fb>78</fb>
    <v>15</v>
  </rv>
  <rv s="2">
    <fb>75.5</fb>
    <v>15</v>
  </rv>
  <rv s="2">
    <fb>74.63</fb>
    <v>15</v>
  </rv>
  <rv s="2">
    <fb>75.540000000000006</fb>
    <v>15</v>
  </rv>
  <rv s="2">
    <fb>75.44</fb>
    <v>15</v>
  </rv>
  <rv s="2">
    <fb>75.75</fb>
    <v>15</v>
  </rv>
  <rv s="2">
    <fb>77.98</fb>
    <v>15</v>
  </rv>
  <rv s="2">
    <fb>74.89</fb>
    <v>15</v>
  </rv>
  <rv s="2">
    <fb>69.099999999999994</fb>
    <v>15</v>
  </rv>
  <rv s="2">
    <fb>67.930000000000007</fb>
    <v>15</v>
  </rv>
  <rv s="2">
    <fb>68.37</fb>
    <v>15</v>
  </rv>
  <rv s="2">
    <fb>68.72</fb>
    <v>15</v>
  </rv>
  <rv s="2">
    <fb>68.48</fb>
    <v>15</v>
  </rv>
  <rv s="2">
    <fb>69.19</fb>
    <v>15</v>
  </rv>
  <rv s="2">
    <fb>66.739999999999995</fb>
    <v>15</v>
  </rv>
  <rv s="2">
    <fb>66.94</fb>
    <v>15</v>
  </rv>
  <rv s="2">
    <fb>66.47</fb>
    <v>15</v>
  </rv>
  <rv s="2">
    <fb>67.06</fb>
    <v>15</v>
  </rv>
  <rv s="2">
    <fb>66</fb>
    <v>15</v>
  </rv>
  <rv s="2">
    <fb>65.98</fb>
    <v>15</v>
  </rv>
  <rv s="2">
    <fb>65.34</fb>
    <v>15</v>
  </rv>
  <rv s="2">
    <fb>65.489999999999995</fb>
    <v>15</v>
  </rv>
  <rv s="3">
    <v>https://www.bing.com/financeapi/forcetrigger?t=aflhlh&amp;q=XFRA%3aSXR8&amp;form=skydnc</v>
    <v>Learn more on Bing</v>
  </rv>
  <rv s="5">
    <v>16</v>
    <v>17</v>
    <v>iShs Cr S&amp;P 500 ETF USD A (XFRA:SXR8)</v>
    <v>18</v>
    <v>19</v>
    <v>Finance</v>
    <v>14</v>
    <v>fr-FR</v>
    <v>aflhlh</v>
    <v>268435456</v>
    <v>1</v>
    <v>Avec Refinitiv</v>
    <v>XFRA</v>
    <v>626.32000000000005</v>
    <v>199.74</v>
    <v>135221267082.78999</v>
    <v>Deutsche Boerse AG</v>
    <v>621.16</v>
    <v>SXR8</v>
    <v>45971.591666666667</v>
    <v>EUR</v>
    <v>628.76</v>
    <v>638.86</v>
    <v>732</v>
    <v>1.0496E-2</v>
    <v>6.52</v>
    <v>iShs Cr S&amp;P 500 ETF USD A</v>
    <v>627.66</v>
    <v>627.67999999999995</v>
    <v>7.000000000000001E-4</v>
    <v>Fonds coté en bourse</v>
    <v>iShs Cr S&amp;P 500 ETF USD A (XFRA:SXR8)</v>
    <v>70</v>
  </rv>
  <rv s="1">
    <v>733</v>
  </rv>
  <rv s="2">
    <fb>596.28</fb>
    <v>15</v>
  </rv>
  <rv s="2">
    <fb>598.36</fb>
    <v>15</v>
  </rv>
  <rv s="2">
    <fb>599.9</fb>
    <v>15</v>
  </rv>
  <rv s="2">
    <fb>599.6</fb>
    <v>15</v>
  </rv>
  <rv s="2">
    <fb>590.44000000000005</fb>
    <v>15</v>
  </rv>
  <rv s="2">
    <fb>588.55999999999995</fb>
    <v>15</v>
  </rv>
  <rv s="2">
    <fb>591.5</fb>
    <v>15</v>
  </rv>
  <rv s="2">
    <fb>594.22</fb>
    <v>15</v>
  </rv>
  <rv s="2">
    <fb>602.55999999999995</fb>
    <v>15</v>
  </rv>
  <rv s="2">
    <fb>606.96</fb>
    <v>15</v>
  </rv>
  <rv s="2">
    <fb>604.48</fb>
    <v>15</v>
  </rv>
  <rv s="2">
    <fb>608.96</fb>
    <v>15</v>
  </rv>
  <rv s="2">
    <fb>600.79999999999995</fb>
    <v>15</v>
  </rv>
  <rv s="2">
    <fb>603.74</fb>
    <v>15</v>
  </rv>
  <rv s="2">
    <fb>604.79999999999995</fb>
    <v>15</v>
  </rv>
  <rv s="2">
    <fb>610.20000000000005</fb>
    <v>15</v>
  </rv>
  <rv s="2">
    <fb>609.79999999999995</fb>
    <v>15</v>
  </rv>
  <rv s="2">
    <fb>610.52</fb>
    <v>15</v>
  </rv>
  <rv s="2">
    <fb>610.54</fb>
    <v>15</v>
  </rv>
  <rv s="2">
    <fb>611.08000000000004</fb>
    <v>15</v>
  </rv>
  <rv s="2">
    <fb>608.29999999999995</fb>
    <v>15</v>
  </rv>
  <rv s="2">
    <fb>607.29999999999995</fb>
    <v>15</v>
  </rv>
  <rv s="2">
    <fb>615.02</fb>
    <v>15</v>
  </rv>
  <rv s="2">
    <fb>613.29999999999995</fb>
    <v>15</v>
  </rv>
  <rv s="2">
    <fb>611.38</fb>
    <v>15</v>
  </rv>
  <rv s="2">
    <fb>614.16</fb>
    <v>15</v>
  </rv>
  <rv s="2">
    <fb>610.91999999999996</fb>
    <v>15</v>
  </rv>
  <rv s="2">
    <fb>603.58000000000004</fb>
    <v>15</v>
  </rv>
  <rv s="2">
    <fb>603.98</fb>
    <v>15</v>
  </rv>
  <rv s="2">
    <fb>605.62</fb>
    <v>15</v>
  </rv>
  <rv s="2">
    <fb>607.26</fb>
    <v>15</v>
  </rv>
  <rv s="2">
    <fb>604.96</fb>
    <v>15</v>
  </rv>
  <rv s="2">
    <fb>601.26</fb>
    <v>15</v>
  </rv>
  <rv s="2">
    <fb>602.76</fb>
    <v>15</v>
  </rv>
  <rv s="2">
    <fb>611.1</fb>
    <v>15</v>
  </rv>
  <rv s="2">
    <fb>611.48</fb>
    <v>15</v>
  </rv>
  <rv s="2">
    <fb>607.66</fb>
    <v>15</v>
  </rv>
  <rv s="2">
    <fb>607.64</fb>
    <v>15</v>
  </rv>
  <rv s="2">
    <fb>608.91999999999996</fb>
    <v>15</v>
  </rv>
  <rv s="2">
    <fb>603.67999999999995</fb>
    <v>15</v>
  </rv>
  <rv s="2">
    <fb>603.96</fb>
    <v>15</v>
  </rv>
  <rv s="2">
    <fb>603.28</fb>
    <v>15</v>
  </rv>
  <rv s="2">
    <fb>613.54</fb>
    <v>15</v>
  </rv>
  <rv s="2">
    <fb>612.28</fb>
    <v>15</v>
  </rv>
  <rv s="2">
    <fb>620.04</fb>
    <v>15</v>
  </rv>
  <rv s="2">
    <fb>615.08000000000004</fb>
    <v>15</v>
  </rv>
  <rv s="2">
    <fb>615.48</fb>
    <v>15</v>
  </rv>
  <rv s="2">
    <fb>620.29999999999995</fb>
    <v>15</v>
  </rv>
  <rv s="2">
    <fb>621.22</fb>
    <v>15</v>
  </rv>
  <rv s="2">
    <fb>617.08000000000004</fb>
    <v>15</v>
  </rv>
  <rv s="2">
    <fb>606.64</fb>
    <v>15</v>
  </rv>
  <rv s="2">
    <fb>618.02</fb>
    <v>15</v>
  </rv>
  <rv s="2">
    <fb>614.4</fb>
    <v>15</v>
  </rv>
  <rv s="2">
    <fb>617.96</fb>
    <v>15</v>
  </rv>
  <rv s="2">
    <fb>619.91999999999996</fb>
    <v>15</v>
  </rv>
  <rv s="2">
    <fb>619.96</fb>
    <v>15</v>
  </rv>
  <rv s="2">
    <fb>617</fb>
    <v>15</v>
  </rv>
  <rv s="2">
    <fb>615.67999999999995</fb>
    <v>15</v>
  </rv>
  <rv s="2">
    <fb>620.44000000000005</fb>
    <v>15</v>
  </rv>
  <rv s="2">
    <fb>621.52</fb>
    <v>15</v>
  </rv>
  <rv s="2">
    <fb>624.26</fb>
    <v>15</v>
  </rv>
  <rv s="2">
    <fb>622.5</fb>
    <v>15</v>
  </rv>
  <rv s="2">
    <fb>618.52</fb>
    <v>15</v>
  </rv>
  <rv s="2">
    <fb>620.08000000000004</fb>
    <v>15</v>
  </rv>
  <rv s="2">
    <fb>617.91999999999996</fb>
    <v>15</v>
  </rv>
  <rv s="2">
    <fb>621.08000000000004</fb>
    <v>15</v>
  </rv>
  <rv s="2">
    <fb>621.84</fb>
    <v>15</v>
  </rv>
  <rv s="2">
    <fb>626.14</fb>
    <v>15</v>
  </rv>
  <rv s="2">
    <fb>617.54</fb>
    <v>15</v>
  </rv>
  <rv s="2">
    <fb>613.28</fb>
    <v>15</v>
  </rv>
  <rv s="2">
    <fb>610.41999999999996</fb>
    <v>15</v>
  </rv>
  <rv s="2">
    <fb>602.36</fb>
    <v>15</v>
  </rv>
  <rv s="2">
    <fb>602.28</fb>
    <v>15</v>
  </rv>
  <rv s="2">
    <fb>600</fb>
    <v>15</v>
  </rv>
  <rv s="2">
    <fb>600.02</fb>
    <v>15</v>
  </rv>
  <rv s="2">
    <fb>591.82000000000005</fb>
    <v>15</v>
  </rv>
  <rv s="2">
    <fb>583.41999999999996</fb>
    <v>15</v>
  </rv>
  <rv s="2">
    <fb>575.96</fb>
    <v>15</v>
  </rv>
  <rv s="2">
    <fb>564.58000000000004</fb>
    <v>15</v>
  </rv>
  <rv s="2">
    <fb>565.24</fb>
    <v>15</v>
  </rv>
  <rv s="2">
    <fb>551.34</fb>
    <v>15</v>
  </rv>
  <rv s="2">
    <fb>544.20000000000005</fb>
    <v>15</v>
  </rv>
  <rv s="2">
    <fb>545.72</fb>
    <v>15</v>
  </rv>
  <rv s="2">
    <fb>540.58000000000004</fb>
    <v>15</v>
  </rv>
  <rv s="2">
    <fb>550.02</fb>
    <v>15</v>
  </rv>
  <rv s="2">
    <fb>552.62</fb>
    <v>15</v>
  </rv>
  <rv s="2">
    <fb>546.08000000000004</fb>
    <v>15</v>
  </rv>
  <rv s="2">
    <fb>553.94000000000005</fb>
    <v>15</v>
  </rv>
  <rv s="2">
    <fb>553.88</fb>
    <v>15</v>
  </rv>
  <rv s="2">
    <fb>554.94000000000005</fb>
    <v>15</v>
  </rv>
  <rv s="2">
    <fb>566.17999999999995</fb>
    <v>15</v>
  </rv>
  <rv s="2">
    <fb>569.62</fb>
    <v>15</v>
  </rv>
  <rv s="2">
    <fb>564.34</fb>
    <v>15</v>
  </rv>
  <rv s="2">
    <fb>562.1</fb>
    <v>15</v>
  </rv>
  <rv s="2">
    <fb>548</fb>
    <v>15</v>
  </rv>
  <rv s="2">
    <fb>549.91999999999996</fb>
    <v>15</v>
  </rv>
  <rv s="2">
    <fb>552.96</fb>
    <v>15</v>
  </rv>
  <rv s="2">
    <fb>552.55999999999995</fb>
    <v>15</v>
  </rv>
  <rv s="2">
    <fb>521.46</fb>
    <v>15</v>
  </rv>
  <rv s="2">
    <fb>498.32</fb>
    <v>15</v>
  </rv>
  <rv s="2">
    <fb>495.52</fb>
    <v>15</v>
  </rv>
  <rv s="2">
    <fb>483.06</fb>
    <v>15</v>
  </rv>
  <rv s="2">
    <fb>532.32000000000005</fb>
    <v>15</v>
  </rv>
  <rv s="2">
    <fb>500.3</fb>
    <v>15</v>
  </rv>
  <rv s="2">
    <fb>502.84</fb>
    <v>15</v>
  </rv>
  <rv s="2">
    <fb>507.88</fb>
    <v>15</v>
  </rv>
  <rv s="2">
    <fb>509.84</fb>
    <v>15</v>
  </rv>
  <rv s="2">
    <fb>497.58</fb>
    <v>15</v>
  </rv>
  <rv s="2">
    <fb>498.87</fb>
    <v>15</v>
  </rv>
  <rv s="2">
    <fb>487.83</fb>
    <v>15</v>
  </rv>
  <rv s="2">
    <fb>503.66</fb>
    <v>15</v>
  </rv>
  <rv s="2">
    <fb>511.94</fb>
    <v>15</v>
  </rv>
  <rv s="2">
    <fb>516.82000000000005</fb>
    <v>15</v>
  </rv>
  <rv s="2">
    <fb>515.88</fb>
    <v>15</v>
  </rv>
  <rv s="2">
    <fb>517.55999999999995</fb>
    <v>15</v>
  </rv>
  <rv s="2">
    <fb>518.05999999999995</fb>
    <v>15</v>
  </rv>
  <rv s="2">
    <fb>534.26</fb>
    <v>15</v>
  </rv>
  <rv s="2">
    <fb>534.46</fb>
    <v>15</v>
  </rv>
  <rv s="2">
    <fb>524.34</fb>
    <v>15</v>
  </rv>
  <rv s="2">
    <fb>527.79999999999995</fb>
    <v>15</v>
  </rv>
  <rv s="2">
    <fb>541.24</fb>
    <v>15</v>
  </rv>
  <rv s="2">
    <fb>534.58000000000004</fb>
    <v>15</v>
  </rv>
  <rv s="2">
    <fb>560.29999999999995</fb>
    <v>15</v>
  </rv>
  <rv s="2">
    <fb>561.55999999999995</fb>
    <v>15</v>
  </rv>
  <rv s="2">
    <fb>560.76</fb>
    <v>15</v>
  </rv>
  <rv s="2">
    <fb>563.94000000000005</fb>
    <v>15</v>
  </rv>
  <rv s="2">
    <fb>568.08000000000004</fb>
    <v>15</v>
  </rv>
  <rv s="2">
    <fb>565.54</fb>
    <v>15</v>
  </rv>
  <rv s="2">
    <fb>562.22</fb>
    <v>15</v>
  </rv>
  <rv s="2">
    <fb>548.66</fb>
    <v>15</v>
  </rv>
  <rv s="2">
    <fb>554</fb>
    <v>15</v>
  </rv>
  <rv s="2">
    <fb>544.98</fb>
    <v>15</v>
  </rv>
  <rv s="2">
    <fb>549.94000000000005</fb>
    <v>15</v>
  </rv>
  <rv s="2">
    <fb>555.54</fb>
    <v>15</v>
  </rv>
  <rv s="2">
    <fb>557.46</fb>
    <v>15</v>
  </rv>
  <rv s="2">
    <fb>553.54</fb>
    <v>15</v>
  </rv>
  <rv s="2">
    <fb>550.38</fb>
    <v>15</v>
  </rv>
  <rv s="2">
    <fb>552.29999999999995</fb>
    <v>15</v>
  </rv>
  <rv s="2">
    <fb>559.72</fb>
    <v>15</v>
  </rv>
  <rv s="2">
    <fb>557.52</fb>
    <v>15</v>
  </rv>
  <rv s="2">
    <fb>556.17999999999995</fb>
    <v>15</v>
  </rv>
  <rv s="2">
    <fb>560.64</fb>
    <v>15</v>
  </rv>
  <rv s="2">
    <fb>561.05999999999995</fb>
    <v>15</v>
  </rv>
  <rv s="2">
    <fb>562.58000000000004</fb>
    <v>15</v>
  </rv>
  <rv s="2">
    <fb>559.34</fb>
    <v>15</v>
  </rv>
  <rv s="2">
    <fb>556.22</fb>
    <v>15</v>
  </rv>
  <rv s="2">
    <fb>554.05999999999995</fb>
    <v>15</v>
  </rv>
  <rv s="2">
    <fb>555.94000000000005</fb>
    <v>15</v>
  </rv>
  <rv s="2">
    <fb>555.96</fb>
    <v>15</v>
  </rv>
  <rv s="2">
    <fb>555.48</fb>
    <v>15</v>
  </rv>
  <rv s="2">
    <fb>551.76</fb>
    <v>15</v>
  </rv>
  <rv s="2">
    <fb>551.64</fb>
    <v>15</v>
  </rv>
  <rv s="2">
    <fb>554.41999999999996</fb>
    <v>15</v>
  </rv>
  <rv s="2">
    <fb>559.91999999999996</fb>
    <v>15</v>
  </rv>
  <rv s="2">
    <fb>558.12</fb>
    <v>15</v>
  </rv>
  <rv s="2">
    <fb>557.84</fb>
    <v>15</v>
  </rv>
  <rv s="2">
    <fb>562.17999999999995</fb>
    <v>15</v>
  </rv>
  <rv s="2">
    <fb>560.24</fb>
    <v>15</v>
  </rv>
  <rv s="2">
    <fb>561.67999999999995</fb>
    <v>15</v>
  </rv>
  <rv s="2">
    <fb>562.02</fb>
    <v>15</v>
  </rv>
  <rv s="2">
    <fb>568.79999999999995</fb>
    <v>15</v>
  </rv>
  <rv s="2">
    <fb>564.79999999999995</fb>
    <v>15</v>
  </rv>
  <rv s="2">
    <fb>566.86</fb>
    <v>15</v>
  </rv>
  <rv s="2">
    <fb>566.62</fb>
    <v>15</v>
  </rv>
  <rv s="2">
    <fb>569.17999999999995</fb>
    <v>15</v>
  </rv>
  <rv s="2">
    <fb>573.48</fb>
    <v>15</v>
  </rv>
  <rv s="2">
    <fb>571.6</fb>
    <v>15</v>
  </rv>
  <rv s="2">
    <fb>572.96</fb>
    <v>15</v>
  </rv>
  <rv s="2">
    <fb>575</fb>
    <v>15</v>
  </rv>
  <rv s="2">
    <fb>572.28</fb>
    <v>15</v>
  </rv>
  <rv s="2">
    <fb>579.14</fb>
    <v>15</v>
  </rv>
  <rv s="2">
    <fb>577.54</fb>
    <v>15</v>
  </rv>
  <rv s="2">
    <fb>578.05999999999995</fb>
    <v>15</v>
  </rv>
  <rv s="2">
    <fb>573</fb>
    <v>15</v>
  </rv>
  <rv s="2">
    <fb>575.79999999999995</fb>
    <v>15</v>
  </rv>
  <rv s="2">
    <fb>577.88</fb>
    <v>15</v>
  </rv>
  <rv s="2">
    <fb>581.14</fb>
    <v>15</v>
  </rv>
  <rv s="2">
    <fb>587.34</fb>
    <v>15</v>
  </rv>
  <rv s="2">
    <fb>589.12</fb>
    <v>15</v>
  </rv>
  <rv s="2">
    <fb>593.08000000000004</fb>
    <v>15</v>
  </rv>
  <rv s="2">
    <fb>594.58000000000004</fb>
    <v>15</v>
  </rv>
  <rv s="2">
    <fb>576.64</fb>
    <v>15</v>
  </rv>
  <rv s="2">
    <fb>583.22</fb>
    <v>15</v>
  </rv>
  <rv s="2">
    <fb>581.34</fb>
    <v>15</v>
  </rv>
  <rv s="2">
    <fb>580.96</fb>
    <v>15</v>
  </rv>
  <rv s="2">
    <fb>579.66</fb>
    <v>15</v>
  </rv>
  <rv s="2">
    <fb>585.08000000000004</fb>
    <v>15</v>
  </rv>
  <rv s="2">
    <fb>585.29999999999995</fb>
    <v>15</v>
  </rv>
  <rv s="2">
    <fb>588.98</fb>
    <v>15</v>
  </rv>
  <rv s="2">
    <fb>588.86</fb>
    <v>15</v>
  </rv>
  <rv s="2">
    <fb>589.08000000000004</fb>
    <v>15</v>
  </rv>
  <rv s="2">
    <fb>589.58000000000004</fb>
    <v>15</v>
  </rv>
  <rv s="2">
    <fb>587.6</fb>
    <v>15</v>
  </rv>
  <rv s="2">
    <fb>585.96</fb>
    <v>15</v>
  </rv>
  <rv s="2">
    <fb>584.32000000000005</fb>
    <v>15</v>
  </rv>
  <rv s="2">
    <fb>588.74</fb>
    <v>15</v>
  </rv>
  <rv s="2">
    <fb>593.05999999999995</fb>
    <v>15</v>
  </rv>
  <rv s="2">
    <fb>591.28</fb>
    <v>15</v>
  </rv>
  <rv s="2">
    <fb>594.38</fb>
    <v>15</v>
  </rv>
  <rv s="2">
    <fb>594.52</fb>
    <v>15</v>
  </rv>
  <rv s="2">
    <fb>588.9</fb>
    <v>15</v>
  </rv>
  <rv s="2">
    <fb>590.36</fb>
    <v>15</v>
  </rv>
  <rv s="2">
    <fb>586.34</fb>
    <v>15</v>
  </rv>
  <rv s="2">
    <fb>588.5</fb>
    <v>15</v>
  </rv>
  <rv s="2">
    <fb>594.74</fb>
    <v>15</v>
  </rv>
  <rv s="2">
    <fb>589.84</fb>
    <v>15</v>
  </rv>
  <rv s="2">
    <fb>592.86</fb>
    <v>15</v>
  </rv>
  <rv s="2">
    <fb>596.16</fb>
    <v>15</v>
  </rv>
  <rv s="2">
    <fb>599.34</fb>
    <v>15</v>
  </rv>
  <rv s="2">
    <fb>599.94000000000005</fb>
    <v>15</v>
  </rv>
  <rv s="2">
    <fb>599.86</fb>
    <v>15</v>
  </rv>
  <rv s="2">
    <fb>594.84</fb>
    <v>15</v>
  </rv>
  <rv s="2">
    <fb>594.54</fb>
    <v>15</v>
  </rv>
  <rv s="2">
    <fb>601.44000000000005</fb>
    <v>15</v>
  </rv>
  <rv s="2">
    <fb>604.9</fb>
    <v>15</v>
  </rv>
  <rv s="2">
    <fb>606.38</fb>
    <v>15</v>
  </rv>
  <rv s="2">
    <fb>602.78</fb>
    <v>15</v>
  </rv>
  <rv s="2">
    <fb>604.38</fb>
    <v>15</v>
  </rv>
  <rv s="2">
    <fb>604.67999999999995</fb>
    <v>15</v>
  </rv>
  <rv s="2">
    <fb>606.48</fb>
    <v>15</v>
  </rv>
  <rv s="2">
    <fb>606.6</fb>
    <v>15</v>
  </rv>
  <rv s="2">
    <fb>604.04</fb>
    <v>15</v>
  </rv>
  <rv s="2">
    <fb>611.02</fb>
    <v>15</v>
  </rv>
  <rv s="2">
    <fb>611.98</fb>
    <v>15</v>
  </rv>
  <rv s="2">
    <fb>611.86</fb>
    <v>15</v>
  </rv>
  <rv s="2">
    <fb>615.70000000000005</fb>
    <v>15</v>
  </rv>
  <rv s="2">
    <fb>615.66</fb>
    <v>15</v>
  </rv>
  <rv s="2">
    <fb>621.94000000000005</fb>
    <v>15</v>
  </rv>
  <rv s="2">
    <fb>605</fb>
    <v>15</v>
  </rv>
  <rv s="2">
    <fb>614.62</fb>
    <v>15</v>
  </rv>
  <rv s="2">
    <fb>614.58000000000004</fb>
    <v>15</v>
  </rv>
  <rv s="2">
    <fb>609.74</fb>
    <v>15</v>
  </rv>
  <rv s="2">
    <fb>605.70000000000005</fb>
    <v>15</v>
  </rv>
  <rv s="2">
    <fb>608.16</fb>
    <v>15</v>
  </rv>
  <rv s="2">
    <fb>619.02</fb>
    <v>15</v>
  </rv>
  <rv s="2">
    <fb>621.5</fb>
    <v>15</v>
  </rv>
  <rv s="2">
    <fb>617.26</fb>
    <v>15</v>
  </rv>
  <rv s="2">
    <fb>620.6</fb>
    <v>15</v>
  </rv>
  <rv s="2">
    <fb>625.74</fb>
    <v>15</v>
  </rv>
  <rv s="2">
    <fb>630.48</fb>
    <v>15</v>
  </rv>
  <rv s="2">
    <fb>632.67999999999995</fb>
    <v>15</v>
  </rv>
  <rv s="2">
    <fb>634.22</fb>
    <v>15</v>
  </rv>
  <rv s="2">
    <fb>633.05999999999995</fb>
    <v>15</v>
  </rv>
  <rv s="2">
    <fb>634.88</fb>
    <v>15</v>
  </rv>
  <rv s="2">
    <fb>636.1</fb>
    <v>15</v>
  </rv>
  <rv s="2">
    <fb>631.82000000000005</fb>
    <v>15</v>
  </rv>
  <rv s="2">
    <fb>635.22</fb>
    <v>15</v>
  </rv>
  <rv s="2">
    <fb>625.28</fb>
    <v>15</v>
  </rv>
  <rv s="2">
    <fb>621.16</fb>
    <v>15</v>
  </rv>
  <rv s="3">
    <v>https://www.bing.com/financeapi/forcetrigger?t=a1yv52&amp;q=XNAS%3aNVDA&amp;form=skydnc</v>
    <v>Learn more on Bing</v>
  </rv>
  <rv s="4">
    <v>7</v>
    <v>8</v>
    <v>NVIDIA CORPORATION (XNAS:NVDA)</v>
    <v>9</v>
    <v>10</v>
    <v>Finance</v>
    <v>11</v>
    <v>fr-FR</v>
    <v>a1yv52</v>
    <v>268435456</v>
    <v>1</v>
    <v>Avec Refinitiv</v>
    <v>XNAS</v>
    <v>24300000000</v>
    <v>1998</v>
    <v>178.91</v>
    <v>86.62</v>
    <v>2.2841</v>
    <v>4572045000000</v>
    <v>Nasdaq Stock Market</v>
    <v>188.08</v>
    <v>NVDA</v>
    <v>45968.885416666664</v>
    <v>NVIDIA Corporation est une société d'infrastructure informatique full stack. La société est engagée dans l'informatique accélérée pour aider à résoudre les problèmes informatiques difficiles. Les segments de la société comprennent le calcul et la mise en réseau et les graphiques. Le segment informatique et réseautage comprend ses plateformes informatiques accélérées de centre de données et ses solutions et logiciels d'intelligence artificielle (IA) ; la mise en réseau ; les plateformes automobiles et les solutions de véhicules autonomes et électriques ; Jetson pour la robotique et autres plateformes embarquées ; et les services de cloud computing DGX. Le segment graphique comprend les GPU GeForce pour les jeux et les PC, le service de streaming de jeux GeForce NOW et l'infrastructure connexe, ainsi que des solutions pour les plates-formes de jeux ; les GPU Quadro/NVIDIA RTX pour les graphismes des stations de travail d'entreprise ; le logiciel GPU virtuel pour l'informatique visuelle et virtuelle basée sur le cloud ; les plates-formes automobiles pour les systèmes d'infodivertissement et le logiciel Omniverse Enterprise pour la construction et l'exploitation d'applications industrielles</v>
    <v>USD</v>
    <v>36000</v>
    <v>XNAS</v>
    <v>188.32</v>
    <v>212.18989999999999</v>
    <v>Semiconductors &amp; Semiconductor Equipment</v>
    <v>984</v>
    <v>3.7220000000000005E-4</v>
    <v>7.0000000000000007E-2</v>
    <v>NVIDIA CORPORATION</v>
    <v>NVIDIA CORPORATION</v>
    <v>184.9</v>
    <v>53.550400000000003</v>
    <v>188.15</v>
    <v>2788 San Tomas Expressway, SANTA CLARA, CA, 95051 US</v>
    <v>Bourse</v>
    <v>NVIDIA CORPORATION (XNAS:NVDA)</v>
    <v>6732171</v>
    <v>184451143</v>
  </rv>
  <rv s="1">
    <v>985</v>
  </rv>
  <rv s="2">
    <fb>145.26</fb>
    <v>12</v>
  </rv>
  <rv s="2">
    <fb>148.29</fb>
    <v>12</v>
  </rv>
  <rv s="2">
    <fb>146.27000000000001</fb>
    <v>12</v>
  </rv>
  <rv s="2">
    <fb>146.76</fb>
    <v>12</v>
  </rv>
  <rv s="2">
    <fb>141.97999999999999</fb>
    <v>12</v>
  </rv>
  <rv s="2">
    <fb>140.15</fb>
    <v>12</v>
  </rv>
  <rv s="2">
    <fb>147.01</fb>
    <v>12</v>
  </rv>
  <rv s="2">
    <fb>145.88999999999999</fb>
    <v>12</v>
  </rv>
  <rv s="2">
    <fb>146.66999999999999</fb>
    <v>12</v>
  </rv>
  <rv s="2">
    <fb>141.94999999999999</fb>
    <v>12</v>
  </rv>
  <rv s="2">
    <fb>136.02000000000001</fb>
    <v>12</v>
  </rv>
  <rv s="2">
    <fb>136.91999999999999</fb>
    <v>12</v>
  </rv>
  <rv s="2">
    <fb>135.34</fb>
    <v>12</v>
  </rv>
  <rv s="2">
    <fb>138.25</fb>
    <v>12</v>
  </rv>
  <rv s="2">
    <fb>138.63</fb>
    <v>12</v>
  </rv>
  <rv s="2">
    <fb>140.26</fb>
    <v>12</v>
  </rv>
  <rv s="2">
    <fb>145.13999999999999</fb>
    <v>12</v>
  </rv>
  <rv s="2">
    <fb>145.06</fb>
    <v>12</v>
  </rv>
  <rv s="2">
    <fb>142.44</fb>
    <v>12</v>
  </rv>
  <rv s="2">
    <fb>138.81</fb>
    <v>12</v>
  </rv>
  <rv s="2">
    <fb>135.07</fb>
    <v>12</v>
  </rv>
  <rv s="2">
    <fb>139.31</fb>
    <v>12</v>
  </rv>
  <rv s="2">
    <fb>137.34</fb>
    <v>12</v>
  </rv>
  <rv s="2">
    <fb>134.25</fb>
    <v>12</v>
  </rv>
  <rv s="2">
    <fb>132</fb>
    <v>12</v>
  </rv>
  <rv s="2">
    <fb>130.38999999999999</fb>
    <v>12</v>
  </rv>
  <rv s="2">
    <fb>128.91</fb>
    <v>12</v>
  </rv>
  <rv s="2">
    <fb>130.68</fb>
    <v>12</v>
  </rv>
  <rv s="2">
    <fb>134.69999999999999</fb>
    <v>12</v>
  </rv>
  <rv s="2">
    <fb>139.66999999999999</fb>
    <v>12</v>
  </rv>
  <rv s="2">
    <fb>140.22</fb>
    <v>12</v>
  </rv>
  <rv s="2">
    <fb>139.93</fb>
    <v>12</v>
  </rv>
  <rv s="2">
    <fb>137.01</fb>
    <v>12</v>
  </rv>
  <rv s="2">
    <fb>137.49</fb>
    <v>12</v>
  </rv>
  <rv s="2">
    <fb>134.29</fb>
    <v>12</v>
  </rv>
  <rv s="2">
    <fb>138.31</fb>
    <v>12</v>
  </rv>
  <rv s="2">
    <fb>144.47</fb>
    <v>12</v>
  </rv>
  <rv s="2">
    <fb>149.43</fb>
    <v>12</v>
  </rv>
  <rv s="2">
    <fb>140.13999999999999</fb>
    <v>12</v>
  </rv>
  <rv s="2">
    <fb>140.11000000000001</fb>
    <v>12</v>
  </rv>
  <rv s="2">
    <fb>135.91</fb>
    <v>12</v>
  </rv>
  <rv s="2">
    <fb>133.22999999999999</fb>
    <v>12</v>
  </rv>
  <rv s="2">
    <fb>131.76</fb>
    <v>12</v>
  </rv>
  <rv s="2">
    <fb>136.24</fb>
    <v>12</v>
  </rv>
  <rv s="2">
    <fb>133.57</fb>
    <v>12</v>
  </rv>
  <rv s="2">
    <fb>137.71</fb>
    <v>12</v>
  </rv>
  <rv s="2">
    <fb>140.83000000000001</fb>
    <v>12</v>
  </rv>
  <rv s="2">
    <fb>147.07</fb>
    <v>12</v>
  </rv>
  <rv s="2">
    <fb>147.22</fb>
    <v>12</v>
  </rv>
  <rv s="2">
    <fb>142.62</fb>
    <v>12</v>
  </rv>
  <rv s="2">
    <fb>118.42</fb>
    <v>12</v>
  </rv>
  <rv s="2">
    <fb>128.99</fb>
    <v>12</v>
  </rv>
  <rv s="2">
    <fb>123.7</fb>
    <v>12</v>
  </rv>
  <rv s="2">
    <fb>124.65</fb>
    <v>12</v>
  </rv>
  <rv s="2">
    <fb>120.07</fb>
    <v>12</v>
  </rv>
  <rv s="2">
    <fb>116.66</fb>
    <v>12</v>
  </rv>
  <rv s="2">
    <fb>118.65</fb>
    <v>12</v>
  </rv>
  <rv s="2">
    <fb>124.83</fb>
    <v>12</v>
  </rv>
  <rv s="2">
    <fb>128.68</fb>
    <v>12</v>
  </rv>
  <rv s="2">
    <fb>129.84</fb>
    <v>12</v>
  </rv>
  <rv s="2">
    <fb>132.80000000000001</fb>
    <v>12</v>
  </rv>
  <rv s="2">
    <fb>131.13999999999999</fb>
    <v>12</v>
  </rv>
  <rv s="2">
    <fb>135.29</fb>
    <v>12</v>
  </rv>
  <rv s="2">
    <fb>138.85</fb>
    <v>12</v>
  </rv>
  <rv s="2">
    <fb>139.4</fb>
    <v>12</v>
  </rv>
  <rv s="2">
    <fb>139.22999999999999</fb>
    <v>12</v>
  </rv>
  <rv s="2">
    <fb>134.43</fb>
    <v>12</v>
  </rv>
  <rv s="2">
    <fb>130.28</fb>
    <v>12</v>
  </rv>
  <rv s="2">
    <fb>126.63</fb>
    <v>12</v>
  </rv>
  <rv s="2">
    <fb>131.28</fb>
    <v>12</v>
  </rv>
  <rv s="2">
    <fb>120.15</fb>
    <v>12</v>
  </rv>
  <rv s="2">
    <fb>124.92</fb>
    <v>12</v>
  </rv>
  <rv s="2">
    <fb>114.06</fb>
    <v>12</v>
  </rv>
  <rv s="2">
    <fb>115.99</fb>
    <v>12</v>
  </rv>
  <rv s="2">
    <fb>117.3</fb>
    <v>12</v>
  </rv>
  <rv s="2">
    <fb>110.57</fb>
    <v>12</v>
  </rv>
  <rv s="2">
    <fb>112.69</fb>
    <v>12</v>
  </rv>
  <rv s="2">
    <fb>106.98</fb>
    <v>12</v>
  </rv>
  <rv s="2">
    <fb>108.76</fb>
    <v>12</v>
  </rv>
  <rv s="2">
    <fb>115.74</fb>
    <v>12</v>
  </rv>
  <rv s="2">
    <fb>115.58</fb>
    <v>12</v>
  </rv>
  <rv s="2">
    <fb>121.67</fb>
    <v>12</v>
  </rv>
  <rv s="2">
    <fb>119.53</fb>
    <v>12</v>
  </rv>
  <rv s="2">
    <fb>115.43</fb>
    <v>12</v>
  </rv>
  <rv s="2">
    <fb>117.52</fb>
    <v>12</v>
  </rv>
  <rv s="2">
    <fb>118.53</fb>
    <v>12</v>
  </rv>
  <rv s="2">
    <fb>117.7</fb>
    <v>12</v>
  </rv>
  <rv s="2">
    <fb>121.41</fb>
    <v>12</v>
  </rv>
  <rv s="2">
    <fb>120.69</fb>
    <v>12</v>
  </rv>
  <rv s="2">
    <fb>113.76</fb>
    <v>12</v>
  </rv>
  <rv s="2">
    <fb>111.43</fb>
    <v>12</v>
  </rv>
  <rv s="2">
    <fb>109.67</fb>
    <v>12</v>
  </rv>
  <rv s="2">
    <fb>108.38</fb>
    <v>12</v>
  </rv>
  <rv s="2">
    <fb>110.15</fb>
    <v>12</v>
  </rv>
  <rv s="2">
    <fb>110.42</fb>
    <v>12</v>
  </rv>
  <rv s="2">
    <fb>101.8</fb>
    <v>12</v>
  </rv>
  <rv s="2">
    <fb>94.31</fb>
    <v>12</v>
  </rv>
  <rv s="2">
    <fb>97.64</fb>
    <v>12</v>
  </rv>
  <rv s="2">
    <fb>96.3</fb>
    <v>12</v>
  </rv>
  <rv s="2">
    <fb>114.33</fb>
    <v>12</v>
  </rv>
  <rv s="2">
    <fb>107.57</fb>
    <v>12</v>
  </rv>
  <rv s="2">
    <fb>110.93</fb>
    <v>12</v>
  </rv>
  <rv s="2">
    <fb>110.71</fb>
    <v>12</v>
  </rv>
  <rv s="2">
    <fb>112.2</fb>
    <v>12</v>
  </rv>
  <rv s="2">
    <fb>104.49</fb>
    <v>12</v>
  </rv>
  <rv s="2">
    <fb>101.49</fb>
    <v>12</v>
  </rv>
  <rv s="2">
    <fb>96.91</fb>
    <v>12</v>
  </rv>
  <rv s="2">
    <fb>98.89</fb>
    <v>12</v>
  </rv>
  <rv s="2">
    <fb>102.71</fb>
    <v>12</v>
  </rv>
  <rv s="2">
    <fb>106.43</fb>
    <v>12</v>
  </rv>
  <rv s="2">
    <fb>111.01</fb>
    <v>12</v>
  </rv>
  <rv s="2">
    <fb>108.73</fb>
    <v>12</v>
  </rv>
  <rv s="2">
    <fb>109.02</fb>
    <v>12</v>
  </rv>
  <rv s="2">
    <fb>108.92</fb>
    <v>12</v>
  </rv>
  <rv s="2">
    <fb>111.61</fb>
    <v>12</v>
  </rv>
  <rv s="2">
    <fb>114.5</fb>
    <v>12</v>
  </rv>
  <rv s="2">
    <fb>113.82</fb>
    <v>12</v>
  </rv>
  <rv s="2">
    <fb>113.54</fb>
    <v>12</v>
  </rv>
  <rv s="2">
    <fb>117.06</fb>
    <v>12</v>
  </rv>
  <rv s="2">
    <fb>117.37</fb>
    <v>12</v>
  </rv>
  <rv s="2">
    <fb>116.65</fb>
    <v>12</v>
  </rv>
  <rv s="2">
    <fb>123</fb>
    <v>12</v>
  </rv>
  <rv s="2">
    <fb>129.93</fb>
    <v>12</v>
  </rv>
  <rv s="2">
    <fb>134.83000000000001</fb>
    <v>12</v>
  </rv>
  <rv s="2">
    <fb>135.4</fb>
    <v>12</v>
  </rv>
  <rv s="2">
    <fb>135.57</fb>
    <v>12</v>
  </rv>
  <rv s="2">
    <fb>134.38</fb>
    <v>12</v>
  </rv>
  <rv s="2">
    <fb>131.80000000000001</fb>
    <v>12</v>
  </rv>
  <rv s="2">
    <fb>132.83000000000001</fb>
    <v>12</v>
  </rv>
  <rv s="2">
    <fb>131.29</fb>
    <v>12</v>
  </rv>
  <rv s="2">
    <fb>135.5</fb>
    <v>12</v>
  </rv>
  <rv s="2">
    <fb>134.81</fb>
    <v>12</v>
  </rv>
  <rv s="2">
    <fb>139.19</fb>
    <v>12</v>
  </rv>
  <rv s="2">
    <fb>135.13</fb>
    <v>12</v>
  </rv>
  <rv s="2">
    <fb>137.38</fb>
    <v>12</v>
  </rv>
  <rv s="2">
    <fb>141.22</fb>
    <v>12</v>
  </rv>
  <rv s="2">
    <fb>141.91999999999999</fb>
    <v>12</v>
  </rv>
  <rv s="2">
    <fb>139.99</fb>
    <v>12</v>
  </rv>
  <rv s="2">
    <fb>141.72</fb>
    <v>12</v>
  </rv>
  <rv s="2">
    <fb>142.63</fb>
    <v>12</v>
  </rv>
  <rv s="2">
    <fb>143.96</fb>
    <v>12</v>
  </rv>
  <rv s="2">
    <fb>142.83000000000001</fb>
    <v>12</v>
  </rv>
  <rv s="2">
    <fb>145</fb>
    <v>12</v>
  </rv>
  <rv s="2">
    <fb>141.97</fb>
    <v>12</v>
  </rv>
  <rv s="2">
    <fb>144.69</fb>
    <v>12</v>
  </rv>
  <rv s="2">
    <fb>144.12</fb>
    <v>12</v>
  </rv>
  <rv s="2">
    <fb>145.47999999999999</fb>
    <v>12</v>
  </rv>
  <rv s="2">
    <fb>143.85</fb>
    <v>12</v>
  </rv>
  <rv s="2">
    <fb>144.16999999999999</fb>
    <v>12</v>
  </rv>
  <rv s="2">
    <fb>147.9</fb>
    <v>12</v>
  </rv>
  <rv s="2">
    <fb>154.31</fb>
    <v>12</v>
  </rv>
  <rv s="2">
    <fb>155.02000000000001</fb>
    <v>12</v>
  </rv>
  <rv s="2">
    <fb>157.75</fb>
    <v>12</v>
  </rv>
  <rv s="2">
    <fb>157.99</fb>
    <v>12</v>
  </rv>
  <rv s="2">
    <fb>153.30000000000001</fb>
    <v>12</v>
  </rv>
  <rv s="2">
    <fb>157.25</fb>
    <v>12</v>
  </rv>
  <rv s="2">
    <fb>159.34</fb>
    <v>12</v>
  </rv>
  <rv s="2">
    <fb>158.24</fb>
    <v>12</v>
  </rv>
  <rv s="2">
    <fb>160</fb>
    <v>12</v>
  </rv>
  <rv s="2">
    <fb>162.88</fb>
    <v>12</v>
  </rv>
  <rv s="2">
    <fb>164.1</fb>
    <v>12</v>
  </rv>
  <rv s="2">
    <fb>164.92</fb>
    <v>12</v>
  </rv>
  <rv s="2">
    <fb>164.07</fb>
    <v>12</v>
  </rv>
  <rv s="2">
    <fb>170.7</fb>
    <v>12</v>
  </rv>
  <rv s="2">
    <fb>171.37</fb>
    <v>12</v>
  </rv>
  <rv s="2">
    <fb>173</fb>
    <v>12</v>
  </rv>
  <rv s="2">
    <fb>172.41</fb>
    <v>12</v>
  </rv>
  <rv s="2">
    <fb>171.38</fb>
    <v>12</v>
  </rv>
  <rv s="2">
    <fb>167.03</fb>
    <v>12</v>
  </rv>
  <rv s="2">
    <fb>170.78</fb>
    <v>12</v>
  </rv>
  <rv s="2">
    <fb>173.74</fb>
    <v>12</v>
  </rv>
  <rv s="2">
    <fb>173.5</fb>
    <v>12</v>
  </rv>
  <rv s="2">
    <fb>176.75</fb>
    <v>12</v>
  </rv>
  <rv s="2">
    <fb>175.51</fb>
    <v>12</v>
  </rv>
  <rv s="2">
    <fb>179.27</fb>
    <v>12</v>
  </rv>
  <rv s="2">
    <fb>177.87</fb>
    <v>12</v>
  </rv>
  <rv s="2">
    <fb>173.72</fb>
    <v>12</v>
  </rv>
  <rv s="2">
    <fb>180</fb>
    <v>12</v>
  </rv>
  <rv s="2">
    <fb>178.26</fb>
    <v>12</v>
  </rv>
  <rv s="2">
    <fb>179.42</fb>
    <v>12</v>
  </rv>
  <rv s="2">
    <fb>180.77</fb>
    <v>12</v>
  </rv>
  <rv s="2">
    <fb>182.7</fb>
    <v>12</v>
  </rv>
  <rv s="2">
    <fb>182.06</fb>
    <v>12</v>
  </rv>
  <rv s="2">
    <fb>183.16</fb>
    <v>12</v>
  </rv>
  <rv s="2">
    <fb>181.59</fb>
    <v>12</v>
  </rv>
  <rv s="2">
    <fb>182.02</fb>
    <v>12</v>
  </rv>
  <rv s="2">
    <fb>180.45</fb>
    <v>12</v>
  </rv>
  <rv s="2">
    <fb>182.01</fb>
    <v>12</v>
  </rv>
  <rv s="2">
    <fb>175.64</fb>
    <v>12</v>
  </rv>
  <rv s="2">
    <fb>175.4</fb>
    <v>12</v>
  </rv>
  <rv s="2">
    <fb>174.98</fb>
    <v>12</v>
  </rv>
  <rv s="2">
    <fb>177.99</fb>
    <v>12</v>
  </rv>
  <rv s="2">
    <fb>179.81</fb>
    <v>12</v>
  </rv>
  <rv s="2">
    <fb>181.77</fb>
    <v>12</v>
  </rv>
  <rv s="2">
    <fb>181.6</fb>
    <v>12</v>
  </rv>
  <rv s="2">
    <fb>180.17</fb>
    <v>12</v>
  </rv>
  <rv s="2">
    <fb>174.18</fb>
    <v>12</v>
  </rv>
  <rv s="2">
    <fb>170.62</fb>
    <v>12</v>
  </rv>
  <rv s="2">
    <fb>171.66</fb>
    <v>12</v>
  </rv>
  <rv s="2">
    <fb>167.02</fb>
    <v>12</v>
  </rv>
  <rv s="2">
    <fb>168.31</fb>
    <v>12</v>
  </rv>
  <rv s="2">
    <fb>170.76</fb>
    <v>12</v>
  </rv>
  <rv s="2">
    <fb>177.33</fb>
    <v>12</v>
  </rv>
  <rv s="2">
    <fb>177.17</fb>
    <v>12</v>
  </rv>
  <rv s="2">
    <fb>177.82</fb>
    <v>12</v>
  </rv>
  <rv s="2">
    <fb>177.75</fb>
    <v>12</v>
  </rv>
  <rv s="2">
    <fb>174.88</fb>
    <v>12</v>
  </rv>
  <rv s="2">
    <fb>170.29</fb>
    <v>12</v>
  </rv>
  <rv s="2">
    <fb>176.24</fb>
    <v>12</v>
  </rv>
  <rv s="2">
    <fb>176.67</fb>
    <v>12</v>
  </rv>
  <rv s="2">
    <fb>183.61</fb>
    <v>12</v>
  </rv>
  <rv s="2">
    <fb>178.43</fb>
    <v>12</v>
  </rv>
  <rv s="2">
    <fb>176.97</fb>
    <v>12</v>
  </rv>
  <rv s="2">
    <fb>177.69</fb>
    <v>12</v>
  </rv>
  <rv s="2">
    <fb>178.19</fb>
    <v>12</v>
  </rv>
  <rv s="2">
    <fb>181.85</fb>
    <v>12</v>
  </rv>
  <rv s="2">
    <fb>186.58</fb>
    <v>12</v>
  </rv>
  <rv s="2">
    <fb>187.24</fb>
    <v>12</v>
  </rv>
  <rv s="2">
    <fb>188.89</fb>
    <v>12</v>
  </rv>
  <rv s="2">
    <fb>187.62</fb>
    <v>12</v>
  </rv>
  <rv s="2">
    <fb>185.54</fb>
    <v>12</v>
  </rv>
  <rv s="2">
    <fb>185.04</fb>
    <v>12</v>
  </rv>
  <rv s="2">
    <fb>189.11</fb>
    <v>12</v>
  </rv>
  <rv s="2">
    <fb>192.57</fb>
    <v>12</v>
  </rv>
  <rv s="2">
    <fb>188.32</fb>
    <v>12</v>
  </rv>
  <rv s="2">
    <fb>180.03</fb>
    <v>12</v>
  </rv>
  <rv s="2">
    <fb>179.83</fb>
    <v>12</v>
  </rv>
  <rv s="2">
    <fb>181.81</fb>
    <v>12</v>
  </rv>
  <rv s="2">
    <fb>183.22</fb>
    <v>12</v>
  </rv>
  <rv s="2">
    <fb>182.64</fb>
    <v>12</v>
  </rv>
  <rv s="2">
    <fb>181.16</fb>
    <v>12</v>
  </rv>
  <rv s="2">
    <fb>180.28</fb>
    <v>12</v>
  </rv>
  <rv s="2">
    <fb>182.16</fb>
    <v>12</v>
  </rv>
  <rv s="2">
    <fb>186.26</fb>
    <v>12</v>
  </rv>
  <rv s="2">
    <fb>191.49</fb>
    <v>12</v>
  </rv>
  <rv s="2">
    <fb>201.03</fb>
    <v>12</v>
  </rv>
  <rv s="2">
    <fb>207.04</fb>
    <v>12</v>
  </rv>
  <rv s="2">
    <fb>202.89</fb>
    <v>12</v>
  </rv>
  <rv s="2">
    <fb>202.49</fb>
    <v>12</v>
  </rv>
  <rv s="2">
    <fb>206.88</fb>
    <v>12</v>
  </rv>
  <rv s="2">
    <fb>198.69</fb>
    <v>12</v>
  </rv>
  <rv s="2">
    <fb>195.21</fb>
    <v>12</v>
  </rv>
  <rv s="2">
    <fb>188.08</fb>
    <v>12</v>
  </rv>
  <rv s="2">
    <fb>188.15</fb>
    <v>12</v>
  </rv>
  <rv s="3">
    <v>https://www.bing.com/financeapi/forcetrigger?t=a1zgm7&amp;q=XNAS%3aPANW&amp;form=skydnc</v>
    <v>Learn more on Bing</v>
  </rv>
  <rv s="4">
    <v>7</v>
    <v>8</v>
    <v>PALO ALTO NETWORKS, INC. (XNAS:PANW)</v>
    <v>9</v>
    <v>10</v>
    <v>Finance</v>
    <v>11</v>
    <v>fr-FR</v>
    <v>a1zgm7</v>
    <v>268435456</v>
    <v>1</v>
    <v>Avec Refinitiv</v>
    <v>XNAS</v>
    <v>676870900</v>
    <v>2005</v>
    <v>207.83</v>
    <v>144.14500000000001</v>
    <v>0.78290000000000004</v>
    <v>143689500000</v>
    <v>Nasdaq Stock Market</v>
    <v>211.37</v>
    <v>PANW</v>
    <v>45968.932210728904</v>
    <v>Palo Alto Networks, Inc. fournit des solutions de sécurité complètes basées sur l'intelligence artificielle (IA) sur le réseau, le cloud, les opérations de sécurité et l'IA. La société se concentre sur quatre domaines : la sécurité des réseaux, la sécurité dans le cloud, les opérations de sécurité et les renseignements sur les menaces et les services consultatifs (unité 42). Sa plate-forme de sécurité réseau comprend des pare-feu alimentés par ML, ai Runtime Security et un framework SASE (Secure Access Service Edge), qui comprend Prisma Access, Prisma SD-WAN et Prisma Access Browser pour sécuriser les employés distants et les succursales. Sa sécurité Cloud est assurée via Prisma Cloud, une plateforme Code to Cloud qui protège les applications, les données, les environnements GenAI et la pile native cloud tout au long du cycle de développement. Sa division Unit 42 fournit des services de consultation axés sur le renseignement, d'intervention en cas d'incident, de détection et d'intervention gérées, ainsi que des services de chasse aux menaces. ITS Prisma AIRS est une plateforme de sécurité IA qui sécurise les applications, les agents, les modèles et les données.</v>
    <v>USD</v>
    <v>16068</v>
    <v>XNAS</v>
    <v>212.63499999999999</v>
    <v>223.61</v>
    <v>Software &amp; IT Services</v>
    <v>1231</v>
    <v>4.3290000000000004E-3</v>
    <v>0.91500000000000004</v>
    <v>PALO ALTO NETWORKS, INC.</v>
    <v>PALO ALTO NETWORKS, INC.</v>
    <v>208.23</v>
    <v>132.76769999999999</v>
    <v>212.285</v>
    <v>3000 Tannery Way, SANTA CLARA, CA, 95054 US</v>
    <v>Bourse</v>
    <v>PALO ALTO NETWORKS, INC. (XNAS:PANW)</v>
    <v>17516</v>
    <v>4719752</v>
  </rv>
  <rv s="1">
    <v>1232</v>
  </rv>
  <rv s="2">
    <fb>199.05</fb>
    <v>12</v>
  </rv>
  <rv s="2">
    <fb>199.01</fb>
    <v>12</v>
  </rv>
  <rv s="2">
    <fb>201.18</fb>
    <v>12</v>
  </rv>
  <rv s="2">
    <fb>197.19499999999999</fb>
    <v>12</v>
  </rv>
  <rv s="2">
    <fb>193.5</fb>
    <v>12</v>
  </rv>
  <rv s="2">
    <fb>193.41499999999999</fb>
    <v>12</v>
  </rv>
  <rv s="2">
    <fb>194.03</fb>
    <v>12</v>
  </rv>
  <rv s="2">
    <fb>196.44499999999999</fb>
    <v>12</v>
  </rv>
  <rv s="2">
    <fb>198.85</fb>
    <v>12</v>
  </rv>
  <rv s="2">
    <fb>191.68</fb>
    <v>12</v>
  </rv>
  <rv s="2">
    <fb>193.19</fb>
    <v>12</v>
  </rv>
  <rv s="2">
    <fb>198.2</fb>
    <v>12</v>
  </rv>
  <rv s="2">
    <fb>192.185</fb>
    <v>12</v>
  </rv>
  <rv s="2">
    <fb>193.91</fb>
    <v>12</v>
  </rv>
  <rv s="2">
    <fb>195.08500000000001</fb>
    <v>12</v>
  </rv>
  <rv s="2">
    <fb>196.29499999999999</fb>
    <v>12</v>
  </rv>
  <rv s="2">
    <fb>202.29</fb>
    <v>12</v>
  </rv>
  <rv s="2">
    <fb>201.51499999999999</fb>
    <v>12</v>
  </rv>
  <rv s="2">
    <fb>202.95</fb>
    <v>12</v>
  </rv>
  <rv s="2">
    <fb>194.47</fb>
    <v>12</v>
  </rv>
  <rv s="2">
    <fb>194.88</fb>
    <v>12</v>
  </rv>
  <rv s="2">
    <fb>199.21</fb>
    <v>12</v>
  </rv>
  <rv s="2">
    <fb>200.10499999999999</fb>
    <v>12</v>
  </rv>
  <rv s="2">
    <fb>196.56</fb>
    <v>12</v>
  </rv>
  <rv s="2">
    <fb>202.5</fb>
    <v>12</v>
  </rv>
  <rv s="2">
    <fb>201.24</fb>
    <v>12</v>
  </rv>
  <rv s="2">
    <fb>188.76</fb>
    <v>12</v>
  </rv>
  <rv s="2">
    <fb>189.36</fb>
    <v>12</v>
  </rv>
  <rv s="2">
    <fb>186.78</fb>
    <v>12</v>
  </rv>
  <rv s="2">
    <fb>188.22</fb>
    <v>12</v>
  </rv>
  <rv s="2">
    <fb>189.51</fb>
    <v>12</v>
  </rv>
  <rv s="2">
    <fb>188.5</fb>
    <v>12</v>
  </rv>
  <rv s="2">
    <fb>186.18</fb>
    <v>12</v>
  </rv>
  <rv s="2">
    <fb>184.2</fb>
    <v>12</v>
  </rv>
  <rv s="2">
    <fb>181.96</fb>
    <v>12</v>
  </rv>
  <rv s="2">
    <fb>180.74</fb>
    <v>12</v>
  </rv>
  <rv s="2">
    <fb>183.25</fb>
    <v>12</v>
  </rv>
  <rv s="2">
    <fb>179.5</fb>
    <v>12</v>
  </rv>
  <rv s="2">
    <fb>172.83</fb>
    <v>12</v>
  </rv>
  <rv s="2">
    <fb>173.42</fb>
    <v>12</v>
  </rv>
  <rv s="2">
    <fb>167.82</fb>
    <v>12</v>
  </rv>
  <rv s="2">
    <fb>170.58</fb>
    <v>12</v>
  </rv>
  <rv s="2">
    <fb>174.19</fb>
    <v>12</v>
  </rv>
  <rv s="2">
    <fb>177.11</fb>
    <v>12</v>
  </rv>
  <rv s="2">
    <fb>183.51</fb>
    <v>12</v>
  </rv>
  <rv s="2">
    <fb>187.32</fb>
    <v>12</v>
  </rv>
  <rv s="2">
    <fb>189.3</fb>
    <v>12</v>
  </rv>
  <rv s="2">
    <fb>192.94</fb>
    <v>12</v>
  </rv>
  <rv s="2">
    <fb>185.42</fb>
    <v>12</v>
  </rv>
  <rv s="2">
    <fb>187.42</fb>
    <v>12</v>
  </rv>
  <rv s="2">
    <fb>182.79</fb>
    <v>12</v>
  </rv>
  <rv s="2">
    <fb>183.4</fb>
    <v>12</v>
  </rv>
  <rv s="2">
    <fb>186.85</fb>
    <v>12</v>
  </rv>
  <rv s="2">
    <fb>187.37</fb>
    <v>12</v>
  </rv>
  <rv s="2">
    <fb>193.94</fb>
    <v>12</v>
  </rv>
  <rv s="2">
    <fb>196.4</fb>
    <v>12</v>
  </rv>
  <rv s="2">
    <fb>195.49</fb>
    <v>12</v>
  </rv>
  <rv s="2">
    <fb>196.73</fb>
    <v>12</v>
  </rv>
  <rv s="2">
    <fb>201.88</fb>
    <v>12</v>
  </rv>
  <rv s="2">
    <fb>200.03</fb>
    <v>12</v>
  </rv>
  <rv s="2">
    <fb>208.28</fb>
    <v>12</v>
  </rv>
  <rv s="2">
    <fb>205.19</fb>
    <v>12</v>
  </rv>
  <rv s="2">
    <fb>198.81</fb>
    <v>12</v>
  </rv>
  <rv s="2">
    <fb>191.03</fb>
    <v>12</v>
  </rv>
  <rv s="2">
    <fb>190.39</fb>
    <v>12</v>
  </rv>
  <rv s="2">
    <fb>188.01</fb>
    <v>12</v>
  </rv>
  <rv s="2">
    <fb>189.55</fb>
    <v>12</v>
  </rv>
  <rv s="2">
    <fb>187.5</fb>
    <v>12</v>
  </rv>
  <rv s="2">
    <fb>190.43</fb>
    <v>12</v>
  </rv>
  <rv s="2">
    <fb>183.68</fb>
    <v>12</v>
  </rv>
  <rv s="2">
    <fb>184.38</fb>
    <v>12</v>
  </rv>
  <rv s="2">
    <fb>184.28</fb>
    <v>12</v>
  </rv>
  <rv s="2">
    <fb>179.33</fb>
    <v>12</v>
  </rv>
  <rv s="2">
    <fb>180.93</fb>
    <v>12</v>
  </rv>
  <rv s="2">
    <fb>173.83</fb>
    <v>12</v>
  </rv>
  <rv s="2">
    <fb>178.93</fb>
    <v>12</v>
  </rv>
  <rv s="2">
    <fb>179.48</fb>
    <v>12</v>
  </rv>
  <rv s="2">
    <fb>176.32</fb>
    <v>12</v>
  </rv>
  <rv s="2">
    <fb>182.34</fb>
    <v>12</v>
  </rv>
  <rv s="2">
    <fb>185</fb>
    <v>12</v>
  </rv>
  <rv s="2">
    <fb>183.1</fb>
    <v>12</v>
  </rv>
  <rv s="2">
    <fb>187.54</fb>
    <v>12</v>
  </rv>
  <rv s="2">
    <fb>184.01</fb>
    <v>12</v>
  </rv>
  <rv s="2">
    <fb>182.32</fb>
    <v>12</v>
  </rv>
  <rv s="2">
    <fb>184.79</fb>
    <v>12</v>
  </rv>
  <rv s="2">
    <fb>189.95</fb>
    <v>12</v>
  </rv>
  <rv s="2">
    <fb>184.96</fb>
    <v>12</v>
  </rv>
  <rv s="2">
    <fb>174.44</fb>
    <v>12</v>
  </rv>
  <rv s="2">
    <fb>172.76</fb>
    <v>12</v>
  </rv>
  <rv s="2">
    <fb>170.64</fb>
    <v>12</v>
  </rv>
  <rv s="2">
    <fb>171.31</fb>
    <v>12</v>
  </rv>
  <rv s="2">
    <fb>165.17</fb>
    <v>12</v>
  </rv>
  <rv s="2">
    <fb>153.57</fb>
    <v>12</v>
  </rv>
  <rv s="2">
    <fb>152.44</fb>
    <v>12</v>
  </rv>
  <rv s="2">
    <fb>152.53</fb>
    <v>12</v>
  </rv>
  <rv s="2">
    <fb>173.02</fb>
    <v>12</v>
  </rv>
  <rv s="2">
    <fb>168.27</fb>
    <v>12</v>
  </rv>
  <rv s="2">
    <fb>168.34</fb>
    <v>12</v>
  </rv>
  <rv s="2">
    <fb>169.98</fb>
    <v>12</v>
  </rv>
  <rv s="2">
    <fb>173.55</fb>
    <v>12</v>
  </rv>
  <rv s="2">
    <fb>169.76</fb>
    <v>12</v>
  </rv>
  <rv s="2">
    <fb>167.69</fb>
    <v>12</v>
  </rv>
  <rv s="2">
    <fb>160.05000000000001</fb>
    <v>12</v>
  </rv>
  <rv s="2">
    <fb>163.63</fb>
    <v>12</v>
  </rv>
  <rv s="2">
    <fb>168.32</fb>
    <v>12</v>
  </rv>
  <rv s="2">
    <fb>176.04</fb>
    <v>12</v>
  </rv>
  <rv s="2">
    <fb>178.98</fb>
    <v>12</v>
  </rv>
  <rv s="2">
    <fb>181.54</fb>
    <v>12</v>
  </rv>
  <rv s="2">
    <fb>186.65</fb>
    <v>12</v>
  </rv>
  <rv s="2">
    <fb>186.93</fb>
    <v>12</v>
  </rv>
  <rv s="2">
    <fb>186.27</fb>
    <v>12</v>
  </rv>
  <rv s="2">
    <fb>188.13</fb>
    <v>12</v>
  </rv>
  <rv s="2">
    <fb>188.69</fb>
    <v>12</v>
  </rv>
  <rv s="2">
    <fb>188.14</fb>
    <v>12</v>
  </rv>
  <rv s="2">
    <fb>188.53</fb>
    <v>12</v>
  </rv>
  <rv s="2">
    <fb>192</fb>
    <v>12</v>
  </rv>
  <rv s="2">
    <fb>190.9</fb>
    <v>12</v>
  </rv>
  <rv s="2">
    <fb>192.9</fb>
    <v>12</v>
  </rv>
  <rv s="2">
    <fb>192.98</fb>
    <v>12</v>
  </rv>
  <rv s="2">
    <fb>194.3</fb>
    <v>12</v>
  </rv>
  <rv s="2">
    <fb>194.48</fb>
    <v>12</v>
  </rv>
  <rv s="2">
    <fb>181.26</fb>
    <v>12</v>
  </rv>
  <rv s="2">
    <fb>186.14</fb>
    <v>12</v>
  </rv>
  <rv s="2">
    <fb>186.75</fb>
    <v>12</v>
  </rv>
  <rv s="2">
    <fb>187.46</fb>
    <v>12</v>
  </rv>
  <rv s="2">
    <fb>187.8</fb>
    <v>12</v>
  </rv>
  <rv s="2">
    <fb>185.82</fb>
    <v>12</v>
  </rv>
  <rv s="2">
    <fb>192.42</fb>
    <v>12</v>
  </rv>
  <rv s="2">
    <fb>194.86</fb>
    <v>12</v>
  </rv>
  <rv s="2">
    <fb>194.07</fb>
    <v>12</v>
  </rv>
  <rv s="2">
    <fb>197.11</fb>
    <v>12</v>
  </rv>
  <rv s="2">
    <fb>199.6</fb>
    <v>12</v>
  </rv>
  <rv s="2">
    <fb>196.33</fb>
    <v>12</v>
  </rv>
  <rv s="2">
    <fb>195.95</fb>
    <v>12</v>
  </rv>
  <rv s="2">
    <fb>194.39</fb>
    <v>12</v>
  </rv>
  <rv s="2">
    <fb>197.67</fb>
    <v>12</v>
  </rv>
  <rv s="2">
    <fb>196.27</fb>
    <v>12</v>
  </rv>
  <rv s="2">
    <fb>198.11</fb>
    <v>12</v>
  </rv>
  <rv s="2">
    <fb>202.05</fb>
    <v>12</v>
  </rv>
  <rv s="2">
    <fb>199.78</fb>
    <v>12</v>
  </rv>
  <rv s="2">
    <fb>199.24</fb>
    <v>12</v>
  </rv>
  <rv s="2">
    <fb>203.32</fb>
    <v>12</v>
  </rv>
  <rv s="2">
    <fb>201.69</fb>
    <v>12</v>
  </rv>
  <rv s="2">
    <fb>204.3</fb>
    <v>12</v>
  </rv>
  <rv s="2">
    <fb>202.34</fb>
    <v>12</v>
  </rv>
  <rv s="2">
    <fb>200.57</fb>
    <v>12</v>
  </rv>
  <rv s="2">
    <fb>204.64</fb>
    <v>12</v>
  </rv>
  <rv s="2">
    <fb>197.58</fb>
    <v>12</v>
  </rv>
  <rv s="2">
    <fb>196.97</fb>
    <v>12</v>
  </rv>
  <rv s="2">
    <fb>201.82</fb>
    <v>12</v>
  </rv>
  <rv s="2">
    <fb>201.42</fb>
    <v>12</v>
  </rv>
  <rv s="2">
    <fb>203.99</fb>
    <v>12</v>
  </rv>
  <rv s="2">
    <fb>206.06</fb>
    <v>12</v>
  </rv>
  <rv s="2">
    <fb>192.07</fb>
    <v>12</v>
  </rv>
  <rv s="2">
    <fb>190.72</fb>
    <v>12</v>
  </rv>
  <rv s="2">
    <fb>192.25</fb>
    <v>12</v>
  </rv>
  <rv s="2">
    <fb>192.59</fb>
    <v>12</v>
  </rv>
  <rv s="2">
    <fb>196.28</fb>
    <v>12</v>
  </rv>
  <rv s="2">
    <fb>195.78</fb>
    <v>12</v>
  </rv>
  <rv s="2">
    <fb>199.88</fb>
    <v>12</v>
  </rv>
  <rv s="2">
    <fb>199.22</fb>
    <v>12</v>
  </rv>
  <rv s="2">
    <fb>201.16</fb>
    <v>12</v>
  </rv>
  <rv s="2">
    <fb>203.27</fb>
    <v>12</v>
  </rv>
  <rv s="2">
    <fb>204.5</fb>
    <v>12</v>
  </rv>
  <rv s="2">
    <fb>193.84</fb>
    <v>12</v>
  </rv>
  <rv s="2">
    <fb>183.03</fb>
    <v>12</v>
  </rv>
  <rv s="2">
    <fb>173.6</fb>
    <v>12</v>
  </rv>
  <rv s="2">
    <fb>172.88</fb>
    <v>12</v>
  </rv>
  <rv s="2">
    <fb>169.09</fb>
    <v>12</v>
  </rv>
  <rv s="2">
    <fb>172.89</fb>
    <v>12</v>
  </rv>
  <rv s="2">
    <fb>168.1</fb>
    <v>12</v>
  </rv>
  <rv s="2">
    <fb>167.06</fb>
    <v>12</v>
  </rv>
  <rv s="2">
    <fb>168.17</fb>
    <v>12</v>
  </rv>
  <rv s="2">
    <fb>176.86</fb>
    <v>12</v>
  </rv>
  <rv s="2">
    <fb>177.09</fb>
    <v>12</v>
  </rv>
  <rv s="2">
    <fb>176.17</fb>
    <v>12</v>
  </rv>
  <rv s="2">
    <fb>181.56</fb>
    <v>12</v>
  </rv>
  <rv s="2">
    <fb>184.43</fb>
    <v>12</v>
  </rv>
  <rv s="2">
    <fb>183.32</fb>
    <v>12</v>
  </rv>
  <rv s="2">
    <fb>185.88</fb>
    <v>12</v>
  </rv>
  <rv s="2">
    <fb>184.55</fb>
    <v>12</v>
  </rv>
  <rv s="2">
    <fb>184.23</fb>
    <v>12</v>
  </rv>
  <rv s="2">
    <fb>187.61</fb>
    <v>12</v>
  </rv>
  <rv s="2">
    <fb>191.02</fb>
    <v>12</v>
  </rv>
  <rv s="2">
    <fb>190.52</fb>
    <v>12</v>
  </rv>
  <rv s="2">
    <fb>191.53</fb>
    <v>12</v>
  </rv>
  <rv s="2">
    <fb>192.35</fb>
    <v>12</v>
  </rv>
  <rv s="2">
    <fb>194.46</fb>
    <v>12</v>
  </rv>
  <rv s="2">
    <fb>197.38</fb>
    <v>12</v>
  </rv>
  <rv s="2">
    <fb>197.55</fb>
    <v>12</v>
  </rv>
  <rv s="2">
    <fb>197.33</fb>
    <v>12</v>
  </rv>
  <rv s="2">
    <fb>198.33</fb>
    <v>12</v>
  </rv>
  <rv s="2">
    <fb>196.29</fb>
    <v>12</v>
  </rv>
  <rv s="2">
    <fb>201.28</fb>
    <v>12</v>
  </rv>
  <rv s="2">
    <fb>201.34</fb>
    <v>12</v>
  </rv>
  <rv s="2">
    <fb>203.12</fb>
    <v>12</v>
  </rv>
  <rv s="2">
    <fb>205.68</fb>
    <v>12</v>
  </rv>
  <rv s="2">
    <fb>208.19</fb>
    <v>12</v>
  </rv>
  <rv s="2">
    <fb>208.18</fb>
    <v>12</v>
  </rv>
  <rv s="2">
    <fb>203.25</fb>
    <v>12</v>
  </rv>
  <rv s="2">
    <fb>202.21</fb>
    <v>12</v>
  </rv>
  <rv s="2">
    <fb>202.37</fb>
    <v>12</v>
  </rv>
  <rv s="2">
    <fb>203.96</fb>
    <v>12</v>
  </rv>
  <rv s="2">
    <fb>203.62</fb>
    <v>12</v>
  </rv>
  <rv s="2">
    <fb>206.8</fb>
    <v>12</v>
  </rv>
  <rv s="2">
    <fb>209.3</fb>
    <v>12</v>
  </rv>
  <rv s="2">
    <fb>207.19</fb>
    <v>12</v>
  </rv>
  <rv s="2">
    <fb>212.58</fb>
    <v>12</v>
  </rv>
  <rv s="2">
    <fb>211.04</fb>
    <v>12</v>
  </rv>
  <rv s="2">
    <fb>217.79</fb>
    <v>12</v>
  </rv>
  <rv s="2">
    <fb>215.17</fb>
    <v>12</v>
  </rv>
  <rv s="2">
    <fb>208.55</fb>
    <v>12</v>
  </rv>
  <rv s="2">
    <fb>213.28</fb>
    <v>12</v>
  </rv>
  <rv s="2">
    <fb>207.56</fb>
    <v>12</v>
  </rv>
  <rv s="2">
    <fb>206.7</fb>
    <v>12</v>
  </rv>
  <rv s="2">
    <fb>205.51</fb>
    <v>12</v>
  </rv>
  <rv s="2">
    <fb>211.82</fb>
    <v>12</v>
  </rv>
  <rv s="2">
    <fb>214.4</fb>
    <v>12</v>
  </rv>
  <rv s="2">
    <fb>212.42</fb>
    <v>12</v>
  </rv>
  <rv s="2">
    <fb>215.02</fb>
    <v>12</v>
  </rv>
  <rv s="2">
    <fb>217.11</fb>
    <v>12</v>
  </rv>
  <rv s="2">
    <fb>220.29</fb>
    <v>12</v>
  </rv>
  <rv s="2">
    <fb>221.38</fb>
    <v>12</v>
  </rv>
  <rv s="2">
    <fb>217.16</fb>
    <v>12</v>
  </rv>
  <rv s="2">
    <fb>218.27</fb>
    <v>12</v>
  </rv>
  <rv s="2">
    <fb>220.24</fb>
    <v>12</v>
  </rv>
  <rv s="2">
    <fb>219.23</fb>
    <v>12</v>
  </rv>
  <rv s="2">
    <fb>214.52</fb>
    <v>12</v>
  </rv>
  <rv s="2">
    <fb>213.18</fb>
    <v>12</v>
  </rv>
  <rv s="2">
    <fb>212.285</fb>
    <v>12</v>
  </rv>
  <rv s="3">
    <v>https://www.bing.com/financeapi/forcetrigger?t=a24mnm&amp;q=XNAS%3aTTWO&amp;form=skydnc</v>
    <v>Learn more on Bing</v>
  </rv>
  <rv s="4">
    <v>7</v>
    <v>8</v>
    <v>TAKE-TWO INTERACTIVE SOFTWARE, INC. (XNAS:TTWO)</v>
    <v>9</v>
    <v>10</v>
    <v>Finance</v>
    <v>11</v>
    <v>fr-FR</v>
    <v>a24mnm</v>
    <v>268435456</v>
    <v>1</v>
    <v>Avec Refinitiv</v>
    <v>XNAS</v>
    <v>184700000</v>
    <v>1993</v>
    <v>227.25</v>
    <v>176.68010000000001</v>
    <v>0.97250000000000003</v>
    <v>42850400000</v>
    <v>Nasdaq Stock Market</v>
    <v>252.4</v>
    <v>TTWO</v>
    <v>45968.91128895781</v>
    <v>Take-Two Interactive Software, Inc. est un développeur, éditeur et distributeur de divertissement interactif pour les consommateurs du monde entier. La Société développe et publie des produits principalement par l'intermédiaire de Rockstar Games, 2K et Zynga. Ses produits sont conçus pour les consoles de jeux, y compris, mais sans s'y limiter, Sony Computer Entertainment, Inc (Sony) PlayStation4 (PS4) et PlayStation5 (PS5), Microsoft Corporation (Microsoft) Xbox One (Xbox One) et Xbox Series XS (Xbox Series XS), Nintendo Switch (Switch), ainsi que les mobiles, y compris les smartphones et tablettes, et les ordinateurs personnels (PC). Elle fournit ses produits via la vente au détail physique, le téléchargement numérique, les plateformes en ligne et les services de streaming cloud. Elle vend des titres de logiciels à la fois numériquement et physiquement par le biais de relations directes avec des vitrines numériques et des partenaires de plate-forme, de grands clients de détail et des distributeurs tiers. Il vend également de la publicité dans un certain nombre de ses jeux, principalement dans mobile.</v>
    <v>USD</v>
    <v>12928</v>
    <v>XNAS</v>
    <v>243.56</v>
    <v>264.78500000000003</v>
    <v>Software &amp; IT Services</v>
    <v>1464</v>
    <v>-8.0823999999999993E-2</v>
    <v>-20.399999999999999</v>
    <v>TAKE-TWO INTERACTIVE SOFTWARE, INC.</v>
    <v>TAKE-TWO INTERACTIVE SOFTWARE, INC.</v>
    <v>232.03</v>
    <v>0</v>
    <v>232</v>
    <v>110 West 44Th Street, NEW YORK, NY, 10036 US</v>
    <v>Bourse</v>
    <v>TAKE-TWO INTERACTIVE SOFTWARE, INC. (XNAS:TTWO)</v>
    <v>24424</v>
    <v>1578097</v>
  </rv>
  <rv s="1">
    <v>1465</v>
  </rv>
  <rv s="2">
    <fb>179.39</fb>
    <v>12</v>
  </rv>
  <rv s="2">
    <fb>180.55</fb>
    <v>12</v>
  </rv>
  <rv s="2">
    <fb>181.87</fb>
    <v>12</v>
  </rv>
  <rv s="2">
    <fb>181.48</fb>
    <v>12</v>
  </rv>
  <rv s="2">
    <fb>177.62</fb>
    <v>12</v>
  </rv>
  <rv s="2">
    <fb>182.93</fb>
    <v>12</v>
  </rv>
  <rv s="2">
    <fb>186.01</fb>
    <v>12</v>
  </rv>
  <rv s="2">
    <fb>185.5</fb>
    <v>12</v>
  </rv>
  <rv s="2">
    <fb>187.85</fb>
    <v>12</v>
  </rv>
  <rv s="2">
    <fb>185.56</fb>
    <v>12</v>
  </rv>
  <rv s="2">
    <fb>188.38</fb>
    <v>12</v>
  </rv>
  <rv s="2">
    <fb>187.95</fb>
    <v>12</v>
  </rv>
  <rv s="2">
    <fb>188.06</fb>
    <v>12</v>
  </rv>
  <rv s="2">
    <fb>188.2</fb>
    <v>12</v>
  </rv>
  <rv s="2">
    <fb>190.03</fb>
    <v>12</v>
  </rv>
  <rv s="2">
    <fb>189.71</fb>
    <v>12</v>
  </rv>
  <rv s="2">
    <fb>187.9</fb>
    <v>12</v>
  </rv>
  <rv s="2">
    <fb>185.36</fb>
    <v>12</v>
  </rv>
  <rv s="2">
    <fb>190.46</fb>
    <v>12</v>
  </rv>
  <rv s="2">
    <fb>189.64</fb>
    <v>12</v>
  </rv>
  <rv s="2">
    <fb>185.48</fb>
    <v>12</v>
  </rv>
  <rv s="2">
    <fb>187.18</fb>
    <v>12</v>
  </rv>
  <rv s="2">
    <fb>185.93</fb>
    <v>12</v>
  </rv>
  <rv s="2">
    <fb>181.9</fb>
    <v>12</v>
  </rv>
  <rv s="2">
    <fb>181.38</fb>
    <v>12</v>
  </rv>
  <rv s="2">
    <fb>181.97</fb>
    <v>12</v>
  </rv>
  <rv s="2">
    <fb>185.39</fb>
    <v>12</v>
  </rv>
  <rv s="2">
    <fb>187.16</fb>
    <v>12</v>
  </rv>
  <rv s="2">
    <fb>186.43</fb>
    <v>12</v>
  </rv>
  <rv s="2">
    <fb>184.54</fb>
    <v>12</v>
  </rv>
  <rv s="2">
    <fb>184.08</fb>
    <v>12</v>
  </rv>
  <rv s="2">
    <fb>183.07</fb>
    <v>12</v>
  </rv>
  <rv s="2">
    <fb>188.75</fb>
    <v>12</v>
  </rv>
  <rv s="2">
    <fb>188.98</fb>
    <v>12</v>
  </rv>
  <rv s="2">
    <fb>181.75</fb>
    <v>12</v>
  </rv>
  <rv s="2">
    <fb>183.74</fb>
    <v>12</v>
  </rv>
  <rv s="2">
    <fb>178.61</fb>
    <v>12</v>
  </rv>
  <rv s="2">
    <fb>178.76</fb>
    <v>12</v>
  </rv>
  <rv s="2">
    <fb>181.32</fb>
    <v>12</v>
  </rv>
  <rv s="2">
    <fb>183.37</fb>
    <v>12</v>
  </rv>
  <rv s="2">
    <fb>186.41</fb>
    <v>12</v>
  </rv>
  <rv s="2">
    <fb>185.14</fb>
    <v>12</v>
  </rv>
  <rv s="2">
    <fb>187.99</fb>
    <v>12</v>
  </rv>
  <rv s="2">
    <fb>183.82</fb>
    <v>12</v>
  </rv>
  <rv s="2">
    <fb>185.49</fb>
    <v>12</v>
  </rv>
  <rv s="2">
    <fb>187.87</fb>
    <v>12</v>
  </rv>
  <rv s="2">
    <fb>187.14</fb>
    <v>12</v>
  </rv>
  <rv s="2">
    <fb>190.09</fb>
    <v>12</v>
  </rv>
  <rv s="2">
    <fb>191.23</fb>
    <v>12</v>
  </rv>
  <rv s="2">
    <fb>185.51</fb>
    <v>12</v>
  </rv>
  <rv s="2">
    <fb>186.07</fb>
    <v>12</v>
  </rv>
  <rv s="2">
    <fb>183.54</fb>
    <v>12</v>
  </rv>
  <rv s="2">
    <fb>184.92</fb>
    <v>12</v>
  </rv>
  <rv s="2">
    <fb>183.08</fb>
    <v>12</v>
  </rv>
  <rv s="2">
    <fb>208.77</fb>
    <v>12</v>
  </rv>
  <rv s="2">
    <fb>212.51</fb>
    <v>12</v>
  </rv>
  <rv s="2">
    <fb>209.94</fb>
    <v>12</v>
  </rv>
  <rv s="2">
    <fb>209.18</fb>
    <v>12</v>
  </rv>
  <rv s="2">
    <fb>210.09</fb>
    <v>12</v>
  </rv>
  <rv s="2">
    <fb>208.76</fb>
    <v>12</v>
  </rv>
  <rv s="2">
    <fb>216.38</fb>
    <v>12</v>
  </rv>
  <rv s="2">
    <fb>215.18</fb>
    <v>12</v>
  </rv>
  <rv s="2">
    <fb>215.24</fb>
    <v>12</v>
  </rv>
  <rv s="2">
    <fb>212.02</fb>
    <v>12</v>
  </rv>
  <rv s="2">
    <fb>209.11</fb>
    <v>12</v>
  </rv>
  <rv s="2">
    <fb>208.21</fb>
    <v>12</v>
  </rv>
  <rv s="2">
    <fb>211.98</fb>
    <v>12</v>
  </rv>
  <rv s="2">
    <fb>208.05</fb>
    <v>12</v>
  </rv>
  <rv s="2">
    <fb>214.81</fb>
    <v>12</v>
  </rv>
  <rv s="2">
    <fb>207.87</fb>
    <v>12</v>
  </rv>
  <rv s="2">
    <fb>204.33</fb>
    <v>12</v>
  </rv>
  <rv s="2">
    <fb>201.93</fb>
    <v>12</v>
  </rv>
  <rv s="2">
    <fb>205.33</fb>
    <v>12</v>
  </rv>
  <rv s="2">
    <fb>203.63</fb>
    <v>12</v>
  </rv>
  <rv s="2">
    <fb>204.57</fb>
    <v>12</v>
  </rv>
  <rv s="2">
    <fb>206.5</fb>
    <v>12</v>
  </rv>
  <rv s="2">
    <fb>204.32</fb>
    <v>12</v>
  </rv>
  <rv s="2">
    <fb>208.86</fb>
    <v>12</v>
  </rv>
  <rv s="2">
    <fb>209.63</fb>
    <v>12</v>
  </rv>
  <rv s="2">
    <fb>213.47</fb>
    <v>12</v>
  </rv>
  <rv s="2">
    <fb>213.51</fb>
    <v>12</v>
  </rv>
  <rv s="2">
    <fb>215.89</fb>
    <v>12</v>
  </rv>
  <rv s="2">
    <fb>214.29</fb>
    <v>12</v>
  </rv>
  <rv s="2">
    <fb>210.47</fb>
    <v>12</v>
  </rv>
  <rv s="2">
    <fb>207.25</fb>
    <v>12</v>
  </rv>
  <rv s="2">
    <fb>210.13</fb>
    <v>12</v>
  </rv>
  <rv s="2">
    <fb>211.1</fb>
    <v>12</v>
  </rv>
  <rv s="2">
    <fb>208.93</fb>
    <v>12</v>
  </rv>
  <rv s="2">
    <fb>194.58</fb>
    <v>12</v>
  </rv>
  <rv s="2">
    <fb>197.53</fb>
    <v>12</v>
  </rv>
  <rv s="2">
    <fb>196.25</fb>
    <v>12</v>
  </rv>
  <rv s="2">
    <fb>208.13</fb>
    <v>12</v>
  </rv>
  <rv s="2">
    <fb>204.41</fb>
    <v>12</v>
  </rv>
  <rv s="2">
    <fb>212.07</fb>
    <v>12</v>
  </rv>
  <rv s="2">
    <fb>212.95</fb>
    <v>12</v>
  </rv>
  <rv s="2">
    <fb>214.6</fb>
    <v>12</v>
  </rv>
  <rv s="2">
    <fb>211.4</fb>
    <v>12</v>
  </rv>
  <rv s="2">
    <fb>205.16</fb>
    <v>12</v>
  </rv>
  <rv s="2">
    <fb>209.97</fb>
    <v>12</v>
  </rv>
  <rv s="2">
    <fb>213.3</fb>
    <v>12</v>
  </rv>
  <rv s="2">
    <fb>225.38</fb>
    <v>12</v>
  </rv>
  <rv s="2">
    <fb>225.55</fb>
    <v>12</v>
  </rv>
  <rv s="2">
    <fb>233.32</fb>
    <v>12</v>
  </rv>
  <rv s="2">
    <fb>235.17</fb>
    <v>12</v>
  </rv>
  <rv s="2">
    <fb>219.5</fb>
    <v>12</v>
  </rv>
  <rv s="2">
    <fb>225.32</fb>
    <v>12</v>
  </rv>
  <rv s="2">
    <fb>231.84</fb>
    <v>12</v>
  </rv>
  <rv s="2">
    <fb>226.34</fb>
    <v>12</v>
  </rv>
  <rv s="2">
    <fb>225.45</fb>
    <v>12</v>
  </rv>
  <rv s="2">
    <fb>226.55</fb>
    <v>12</v>
  </rv>
  <rv s="2">
    <fb>226.25</fb>
    <v>12</v>
  </rv>
  <rv s="2">
    <fb>226.16</fb>
    <v>12</v>
  </rv>
  <rv s="2">
    <fb>229.5</fb>
    <v>12</v>
  </rv>
  <rv s="2">
    <fb>232.34</fb>
    <v>12</v>
  </rv>
  <rv s="2">
    <fb>226.74</fb>
    <v>12</v>
  </rv>
  <rv s="2">
    <fb>234.66</fb>
    <v>12</v>
  </rv>
  <rv s="2">
    <fb>237.5</fb>
    <v>12</v>
  </rv>
  <rv s="2">
    <fb>226.76</fb>
    <v>12</v>
  </rv>
  <rv s="2">
    <fb>226.01</fb>
    <v>12</v>
  </rv>
  <rv s="2">
    <fb>224.99</fb>
    <v>12</v>
  </rv>
  <rv s="2">
    <fb>226.27</fb>
    <v>12</v>
  </rv>
  <rv s="2">
    <fb>228.33</fb>
    <v>12</v>
  </rv>
  <rv s="2">
    <fb>225.39</fb>
    <v>12</v>
  </rv>
  <rv s="2">
    <fb>226.28</fb>
    <v>12</v>
  </rv>
  <rv s="2">
    <fb>227.6</fb>
    <v>12</v>
  </rv>
  <rv s="2">
    <fb>229.65</fb>
    <v>12</v>
  </rv>
  <rv s="2">
    <fb>229.18</fb>
    <v>12</v>
  </rv>
  <rv s="2">
    <fb>232.72</fb>
    <v>12</v>
  </rv>
  <rv s="2">
    <fb>233.5</fb>
    <v>12</v>
  </rv>
  <rv s="2">
    <fb>234.91</fb>
    <v>12</v>
  </rv>
  <rv s="2">
    <fb>234.74</fb>
    <v>12</v>
  </rv>
  <rv s="2">
    <fb>234.46</fb>
    <v>12</v>
  </rv>
  <rv s="2">
    <fb>230.23</fb>
    <v>12</v>
  </rv>
  <rv s="2">
    <fb>238.6</fb>
    <v>12</v>
  </rv>
  <rv s="2">
    <fb>237.52</fb>
    <v>12</v>
  </rv>
  <rv s="2">
    <fb>238.5</fb>
    <v>12</v>
  </rv>
  <rv s="2">
    <fb>238.37</fb>
    <v>12</v>
  </rv>
  <rv s="2">
    <fb>241.59</fb>
    <v>12</v>
  </rv>
  <rv s="2">
    <fb>243.05</fb>
    <v>12</v>
  </rv>
  <rv s="2">
    <fb>241.64</fb>
    <v>12</v>
  </rv>
  <rv s="2">
    <fb>239.33</fb>
    <v>12</v>
  </rv>
  <rv s="2">
    <fb>241.44</fb>
    <v>12</v>
  </rv>
  <rv s="2">
    <fb>242.85</fb>
    <v>12</v>
  </rv>
  <rv s="2">
    <fb>240.1</fb>
    <v>12</v>
  </rv>
  <rv s="2">
    <fb>239.51</fb>
    <v>12</v>
  </rv>
  <rv s="2">
    <fb>240.11</fb>
    <v>12</v>
  </rv>
  <rv s="2">
    <fb>242.53</fb>
    <v>12</v>
  </rv>
  <rv s="2">
    <fb>240.56</fb>
    <v>12</v>
  </rv>
  <rv s="2">
    <fb>242.23</fb>
    <v>12</v>
  </rv>
  <rv s="2">
    <fb>235.33</fb>
    <v>12</v>
  </rv>
  <rv s="2">
    <fb>233.92</fb>
    <v>12</v>
  </rv>
  <rv s="2">
    <fb>238.46</fb>
    <v>12</v>
  </rv>
  <rv s="2">
    <fb>237.7</fb>
    <v>12</v>
  </rv>
  <rv s="2">
    <fb>238.73</fb>
    <v>12</v>
  </rv>
  <rv s="2">
    <fb>231.18</fb>
    <v>12</v>
  </rv>
  <rv s="2">
    <fb>231.63</fb>
    <v>12</v>
  </rv>
  <rv s="2">
    <fb>231.07</fb>
    <v>12</v>
  </rv>
  <rv s="2">
    <fb>228.73</fb>
    <v>12</v>
  </rv>
  <rv s="2">
    <fb>225.75</fb>
    <v>12</v>
  </rv>
  <rv s="2">
    <fb>224.75</fb>
    <v>12</v>
  </rv>
  <rv s="2">
    <fb>226.1</fb>
    <v>12</v>
  </rv>
  <rv s="2">
    <fb>223.98</fb>
    <v>12</v>
  </rv>
  <rv s="2">
    <fb>222.73</fb>
    <v>12</v>
  </rv>
  <rv s="2">
    <fb>220.58</fb>
    <v>12</v>
  </rv>
  <rv s="2">
    <fb>225.92</fb>
    <v>12</v>
  </rv>
  <rv s="2">
    <fb>227.21</fb>
    <v>12</v>
  </rv>
  <rv s="2">
    <fb>226.49</fb>
    <v>12</v>
  </rv>
  <rv s="2">
    <fb>217.37</fb>
    <v>12</v>
  </rv>
  <rv s="2">
    <fb>222.67</fb>
    <v>12</v>
  </rv>
  <rv s="2">
    <fb>232.56</fb>
    <v>12</v>
  </rv>
  <rv s="2">
    <fb>236.14</fb>
    <v>12</v>
  </rv>
  <rv s="2">
    <fb>233.16</fb>
    <v>12</v>
  </rv>
  <rv s="2">
    <fb>232.18</fb>
    <v>12</v>
  </rv>
  <rv s="2">
    <fb>232.55</fb>
    <v>12</v>
  </rv>
  <rv s="2">
    <fb>228.36</fb>
    <v>12</v>
  </rv>
  <rv s="2">
    <fb>228.67</fb>
    <v>12</v>
  </rv>
  <rv s="2">
    <fb>227.87</fb>
    <v>12</v>
  </rv>
  <rv s="2">
    <fb>229.03</fb>
    <v>12</v>
  </rv>
  <rv s="2">
    <fb>231.83</fb>
    <v>12</v>
  </rv>
  <rv s="2">
    <fb>230.82</fb>
    <v>12</v>
  </rv>
  <rv s="2">
    <fb>232.03</fb>
    <v>12</v>
  </rv>
  <rv s="2">
    <fb>234.9</fb>
    <v>12</v>
  </rv>
  <rv s="2">
    <fb>233.27</fb>
    <v>12</v>
  </rv>
  <rv s="2">
    <fb>240.95</fb>
    <v>12</v>
  </rv>
  <rv s="2">
    <fb>238.86</fb>
    <v>12</v>
  </rv>
  <rv s="2">
    <fb>240.65</fb>
    <v>12</v>
  </rv>
  <rv s="2">
    <fb>239.68</fb>
    <v>12</v>
  </rv>
  <rv s="2">
    <fb>248.78</fb>
    <v>12</v>
  </rv>
  <rv s="2">
    <fb>247.86</fb>
    <v>12</v>
  </rv>
  <rv s="2">
    <fb>244.04</fb>
    <v>12</v>
  </rv>
  <rv s="2">
    <fb>246.54</fb>
    <v>12</v>
  </rv>
  <rv s="2">
    <fb>246.26</fb>
    <v>12</v>
  </rv>
  <rv s="2">
    <fb>247.25</fb>
    <v>12</v>
  </rv>
  <rv s="2">
    <fb>247.73</fb>
    <v>12</v>
  </rv>
  <rv s="2">
    <fb>250.52</fb>
    <v>12</v>
  </rv>
  <rv s="2">
    <fb>249.74</fb>
    <v>12</v>
  </rv>
  <rv s="2">
    <fb>250.85</fb>
    <v>12</v>
  </rv>
  <rv s="2">
    <fb>251.64</fb>
    <v>12</v>
  </rv>
  <rv s="2">
    <fb>251.28</fb>
    <v>12</v>
  </rv>
  <rv s="2">
    <fb>244.12</fb>
    <v>12</v>
  </rv>
  <rv s="2">
    <fb>245.11</fb>
    <v>12</v>
  </rv>
  <rv s="2">
    <fb>256.12</fb>
    <v>12</v>
  </rv>
  <rv s="2">
    <fb>259.95999999999998</fb>
    <v>12</v>
  </rv>
  <rv s="2">
    <fb>258.36</fb>
    <v>12</v>
  </rv>
  <rv s="2">
    <fb>255.4</fb>
    <v>12</v>
  </rv>
  <rv s="2">
    <fb>256.94</fb>
    <v>12</v>
  </rv>
  <rv s="2">
    <fb>257.68</fb>
    <v>12</v>
  </rv>
  <rv s="2">
    <fb>256.98</fb>
    <v>12</v>
  </rv>
  <rv s="2">
    <fb>260.5</fb>
    <v>12</v>
  </rv>
  <rv s="2">
    <fb>258.07</fb>
    <v>12</v>
  </rv>
  <rv s="2">
    <fb>256.69</fb>
    <v>12</v>
  </rv>
  <rv s="2">
    <fb>251.97</fb>
    <v>12</v>
  </rv>
  <rv s="2">
    <fb>256.68</fb>
    <v>12</v>
  </rv>
  <rv s="2">
    <fb>257.72000000000003</fb>
    <v>12</v>
  </rv>
  <rv s="2">
    <fb>261.5</fb>
    <v>12</v>
  </rv>
  <rv s="2">
    <fb>259.23</fb>
    <v>12</v>
  </rv>
  <rv s="2">
    <fb>261.35000000000002</fb>
    <v>12</v>
  </rv>
  <rv s="2">
    <fb>262.29000000000002</fb>
    <v>12</v>
  </rv>
  <rv s="2">
    <fb>260.27999999999997</fb>
    <v>12</v>
  </rv>
  <rv s="2">
    <fb>255.56</fb>
    <v>12</v>
  </rv>
  <rv s="2">
    <fb>254.53</fb>
    <v>12</v>
  </rv>
  <rv s="2">
    <fb>255.12</fb>
    <v>12</v>
  </rv>
  <rv s="2">
    <fb>254.27</fb>
    <v>12</v>
  </rv>
  <rv s="2">
    <fb>251.57</fb>
    <v>12</v>
  </rv>
  <rv s="2">
    <fb>251.73</fb>
    <v>12</v>
  </rv>
  <rv s="2">
    <fb>252.78</fb>
    <v>12</v>
  </rv>
  <rv s="2">
    <fb>256.37</fb>
    <v>12</v>
  </rv>
  <rv s="2">
    <fb>255.65</fb>
    <v>12</v>
  </rv>
  <rv s="2">
    <fb>252.43</fb>
    <v>12</v>
  </rv>
  <rv s="2">
    <fb>254.76</fb>
    <v>12</v>
  </rv>
  <rv s="2">
    <fb>252.4</fb>
    <v>12</v>
  </rv>
  <rv s="2">
    <fb>232</fb>
    <v>12</v>
  </rv>
  <rv s="3">
    <v>https://www.bing.com/financeapi/forcetrigger?t=bnstim&amp;q=XFRA%3a3CP&amp;form=skydnc</v>
    <v>Learn more on Bing</v>
  </rv>
  <rv s="4">
    <v>7</v>
    <v>8</v>
    <v>XIAOMI CORPORATION (XFRA:3CP)</v>
    <v>9</v>
    <v>20</v>
    <v>Finance</v>
    <v>14</v>
    <v>fr-FR</v>
    <v>bnstim</v>
    <v>268435456</v>
    <v>1</v>
    <v>Avec Refinitiv</v>
    <v>XFRA</v>
    <v>26069360000</v>
    <v>2010</v>
    <v>4.6310000000000002</v>
    <v>0.96619999999999995</v>
    <v>1.0365</v>
    <v>1101170000000</v>
    <v>Deutsche Boerse AG</v>
    <v>4.6985000000000001</v>
    <v>3CP</v>
    <v>45971.591666666667</v>
    <v>XIAOMI CORPORATION est une société d’investissement basée en Chine dont les activités principales sont la recherche, le développement et la vente de smartphones, l’Internet des objets (IdO) et les produits de style de vie, la fourniture de services Internet et les activités d’investissement. La Société exerce principalement ses activités dans quatre secteurs. Le segment Smartphone est engagé dans la vente de smartphones. Le segment des produits d’IdO et de mode de vie se consacre à la vente d’autres produits internes, notamment les téléviseurs intelligents (téléviseurs), les ordinateurs portables, les haut-parleurs à intelligence artificielle (IA) et les routeurs intelligents; des produits de l'écosystème y compris l'IdO et d'autres produits matériels intelligents, ainsi que certains produits de style de vie. Le secteur des services Internet fournit des services de publicité et des services Internet à valeur ajoutée. Le secteur Autres est engagé dans la fourniture de services de réparation pour ses produits matériels. La Société distribue ses produits sur le marché intérieur et sur les marchés étrangers.</v>
    <v>EUR</v>
    <v>46592</v>
    <v>XFRA</v>
    <v>4.7735000000000003</v>
    <v>7.3979999999999997</v>
    <v>Computers, Phones &amp; Household Electronics</v>
    <v>1699</v>
    <v>5.7469999999999995E-3</v>
    <v>2.7E-2</v>
    <v>XIAOMI CORPORATION</v>
    <v>XIAOMI CORPORATION</v>
    <v>4.6310000000000002</v>
    <v>26.252800000000001</v>
    <v>4.7255000000000003</v>
    <v>Xiaomi Campus, Anningzhuang Road, Haidian District, BEIJING, BEIJING CN</v>
    <v>Bourse</v>
    <v>XIAOMI CORPORATION (XFRA:3CP)</v>
    <v>100273</v>
    <v>179737320</v>
  </rv>
  <rv s="1">
    <v>1700</v>
  </rv>
  <rv s="3">
    <v>https://www.bing.com/financeapi/forcetrigger?t=c2rtrw&amp;q=XFRA%3aPPFB&amp;form=skydnc</v>
    <v>Learn more on Bing</v>
  </rv>
  <rv s="6">
    <v>21</v>
    <v>22</v>
    <v>ISHARES PHYSICAL GOLD ETC (XFRA:PPFB)</v>
    <v>18</v>
    <v>23</v>
    <v>Finance</v>
    <v>14</v>
    <v>fr-FR</v>
    <v>c2rtrw</v>
    <v>268435456</v>
    <v>1</v>
    <v>Avec Refinitiv</v>
    <v>XFRA</v>
    <v>68.344999999999999</v>
    <v>Deutsche Boerse AG</v>
    <v>67.245000000000005</v>
    <v>PPFB</v>
    <v>45971.591666666667</v>
    <v>EUR</v>
    <v>68.814999999999998</v>
    <v>1702</v>
    <v>2.3347000000000003E-2</v>
    <v>1.57</v>
    <v>ISHARES PHYSICAL GOLD ETC</v>
    <v>68.69</v>
    <v>68.814999999999998</v>
    <v>Fonds coté en bourse</v>
    <v>ISHARES PHYSICAL GOLD ETC (XFRA:PPFB)</v>
    <v>244</v>
  </rv>
  <rv s="1">
    <v>1703</v>
  </rv>
  <rv s="7">
    <v>24</v>
    <v>a1nhlh</v>
    <v>Daily</v>
    <v>45606</v>
    <v>45971</v>
    <v>0</v>
    <v>1</v>
    <v>638980704000000000,638983783027375619,0</v>
    <v>0</v>
    <v>a1nhlh</v>
    <v/>
    <v>1</v>
  </rv>
  <rv s="7">
    <v>25</v>
    <v>ae7w1h</v>
    <v>Daily</v>
    <v>45606</v>
    <v>45971</v>
    <v>0</v>
    <v>1</v>
    <v>638980704000000000,638983783013572061,0</v>
    <v>2</v>
    <v>ae7w1h</v>
    <v/>
    <v>3</v>
  </rv>
  <rv s="7">
    <v>24</v>
    <v>a1yv52</v>
    <v>Daily</v>
    <v>45606</v>
    <v>45971</v>
    <v>0</v>
    <v>1</v>
    <v>638980704000000000,638983783014051088,0</v>
    <v>0</v>
    <v>a1yv52</v>
    <v/>
    <v>4</v>
  </rv>
  <rv s="7">
    <v>25</v>
    <v>aflhlh</v>
    <v>Daily</v>
    <v>45606</v>
    <v>45971</v>
    <v>0</v>
    <v>1</v>
    <v>638980704000000000,638983783013886459,0</v>
    <v>5</v>
    <v>aflhlh</v>
    <v/>
    <v>6</v>
  </rv>
  <rv s="7">
    <v>24</v>
    <v>a24mnm</v>
    <v>Daily</v>
    <v>45606</v>
    <v>45971</v>
    <v>0</v>
    <v>1</v>
    <v>638980704000000000,638983783013234291,0</v>
    <v>0</v>
    <v>a24mnm</v>
    <v/>
    <v>7</v>
  </rv>
  <rv s="7">
    <v>24</v>
    <v>a1zgm7</v>
    <v>Daily</v>
    <v>45606</v>
    <v>45971</v>
    <v>0</v>
    <v>1</v>
    <v>638980704000000000,638983783013734269,0</v>
    <v>0</v>
    <v>a1zgm7</v>
    <v/>
    <v>8</v>
  </rv>
</rvData>
</file>

<file path=xl/richData/rdrichvaluestructure.xml><?xml version="1.0" encoding="utf-8"?>
<rvStructures xmlns="http://schemas.microsoft.com/office/spreadsheetml/2017/richdata" count="8">
  <s t="_linkedentitycore">
    <k n="_CanonicalPropertyNames" t="spb"/>
    <k n="_Display" t="spb"/>
    <k n="_DisplayString" t="s"/>
    <k n="_Flags" t="spb"/>
    <k n="_Format" t="spb"/>
    <k n="_Icon" t="s"/>
    <k n="_SubLabel" t="spb"/>
    <k n="%EntityCulture" t="s"/>
    <k n="%EntityId" t="s"/>
    <k n="%EntityServiceId"/>
    <k n="%IsRefreshable" t="b"/>
    <k n="%ProviderInfo" t="s"/>
    <k n="Bas"/>
    <k n="Bas depuis 52 semaines"/>
    <k n="Clôture précédente"/>
    <k n="Code mnémonique" t="s"/>
    <k n="De la devise" t="s"/>
    <k n="Dernière heure d'échange"/>
    <k n="Devise" t="s"/>
    <k n="Haut"/>
    <k n="Haut depuis 52 semaines"/>
    <k n="Modification (%)"/>
    <k n="Modifier"/>
    <k n="Nom" t="s"/>
    <k n="Ouvrir"/>
    <k n="Prix"/>
    <k n="Type d'instrument" t="s"/>
    <k n="UniqueName" t="s"/>
  </s>
  <s t="_linkedentity">
    <k n="%cvi" t="r"/>
  </s>
  <s t="_formattednumber">
    <k n="_Format" t="spb"/>
  </s>
  <s t="_hyperlink">
    <k n="Address" t="s"/>
    <k n="Text" t="s"/>
  </s>
  <s t="_linkedentitycore">
    <k n="_CanonicalPropertyNames" t="spb"/>
    <k n="_Display" t="spb"/>
    <k n="_DisplayString" t="s"/>
    <k n="_Flags" t="spb"/>
    <k n="_Format" t="spb"/>
    <k n="_Icon" t="s"/>
    <k n="_SubLabel" t="spb"/>
    <k n="%EntityCulture" t="s"/>
    <k n="%EntityId" t="s"/>
    <k n="%EntityServiceId"/>
    <k n="%IsRefreshable" t="b"/>
    <k n="%ProviderInfo" t="s"/>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core">
    <k n="_CanonicalPropertyNames" t="spb"/>
    <k n="_Display" t="spb"/>
    <k n="_DisplayString" t="s"/>
    <k n="_Flags" t="spb"/>
    <k n="_Format" t="spb"/>
    <k n="_Icon" t="s"/>
    <k n="_SubLabel" t="spb"/>
    <k n="%EntityCulture" t="s"/>
    <k n="%EntityId" t="s"/>
    <k n="%EntityServiceId"/>
    <k n="%IsRefreshable" t="b"/>
    <k n="%ProviderInfo" t="s"/>
    <k n="Abréviation de change" t="s"/>
    <k n="Bas"/>
    <k n="Bas depuis 52 semaines"/>
    <k n="Capitalisation boursière"/>
    <k n="Change" t="s"/>
    <k n="Clôture précédente"/>
    <k n="Code mnémonique" t="s"/>
    <k n="Dernière heure d'échange"/>
    <k n="Devise" t="s"/>
    <k n="Haut"/>
    <k n="Haut depuis 52 semaines"/>
    <k n="LearnMoreOnLink" t="r"/>
    <k n="Modification (%)"/>
    <k n="Modifier"/>
    <k n="Nom" t="s"/>
    <k n="Ouvrir"/>
    <k n="Prix"/>
    <k n="Taux de dépenses"/>
    <k n="Type d'instrument" t="s"/>
    <k n="UniqueName" t="s"/>
    <k n="Volume"/>
  </s>
  <s t="_linkedentitycore">
    <k n="_CanonicalPropertyNames" t="spb"/>
    <k n="_Display" t="spb"/>
    <k n="_DisplayString" t="s"/>
    <k n="_Flags" t="spb"/>
    <k n="_Format" t="spb"/>
    <k n="_Icon" t="s"/>
    <k n="_SubLabel" t="spb"/>
    <k n="%EntityCulture" t="s"/>
    <k n="%EntityId" t="s"/>
    <k n="%EntityServiceId"/>
    <k n="%IsRefreshable" t="b"/>
    <k n="%ProviderInfo" t="s"/>
    <k n="Abréviation de change" t="s"/>
    <k n="Bas"/>
    <k n="Change" t="s"/>
    <k n="Clôture précédente"/>
    <k n="Code mnémonique" t="s"/>
    <k n="Dernière heure d'échange"/>
    <k n="Devise" t="s"/>
    <k n="Haut"/>
    <k n="LearnMoreOnLink" t="r"/>
    <k n="Modification (%)"/>
    <k n="Modifier"/>
    <k n="Nom" t="s"/>
    <k n="Ouvrir"/>
    <k n="Prix"/>
    <k n="Type d'instrument" t="s"/>
    <k n="UniqueName" t="s"/>
    <k n="Volum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4">
    <a count="28">
      <v t="s">%EntityServiceId</v>
      <v t="s">_Format</v>
      <v t="s">%IsRefreshable</v>
      <v t="s">_CanonicalPropertyNames</v>
      <v t="s">%EntityCulture</v>
      <v t="s">%EntityId</v>
      <v t="s">_Icon</v>
      <v t="s">_Display</v>
      <v t="s">Nom</v>
      <v t="s">Prix</v>
      <v t="s">_SubLabel</v>
      <v t="s">Dernière heure d'échange</v>
      <v t="s">Code mnémonique</v>
      <v t="s">Modifier</v>
      <v t="s">Modification (%)</v>
      <v t="s">Devise</v>
      <v t="s">De la devise</v>
      <v t="s">Clôture précédente</v>
      <v t="s">Ouvrir</v>
      <v t="s">Haut</v>
      <v t="s">Bas</v>
      <v t="s">Haut depuis 52 semaines</v>
      <v t="s">Bas depuis 52 semaines</v>
      <v t="s">Type d'instrument</v>
      <v t="s">_Flags</v>
      <v t="s">UniqueName</v>
      <v t="s">_DisplayString</v>
      <v t="s">%ProviderInfo</v>
    </a>
    <a count="43">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33">
      <v t="s">%EntityServiceId</v>
      <v t="s">_Format</v>
      <v t="s">%IsRefreshable</v>
      <v t="s">_CanonicalPropertyNames</v>
      <v t="s">%EntityCulture</v>
      <v t="s">%EntityId</v>
      <v t="s">_Icon</v>
      <v t="s">_Display</v>
      <v t="s">Nom</v>
      <v t="s">_SubLabel</v>
      <v t="s">Prix</v>
      <v t="s">Change</v>
      <v t="s">Dernière heure d'échange</v>
      <v t="s">Code mnémonique</v>
      <v t="s">Abréviation de change</v>
      <v t="s">Modifier</v>
      <v t="s">Taux de dépenses</v>
      <v t="s">Modification (%)</v>
      <v t="s">Devise</v>
      <v t="s">Clôture précédente</v>
      <v t="s">Ouvrir</v>
      <v t="s">Haut</v>
      <v t="s">Bas</v>
      <v t="s">Haut depuis 52 semaines</v>
      <v t="s">Bas depuis 52 semaines</v>
      <v t="s">Volume</v>
      <v t="s">Capitalisation boursière</v>
      <v t="s">Type d'instrument</v>
      <v t="s">_Flags</v>
      <v t="s">UniqueName</v>
      <v t="s">_DisplayString</v>
      <v t="s">LearnMoreOnLink</v>
      <v t="s">%ProviderInfo</v>
    </a>
    <a count="29">
      <v t="s">%EntityServiceId</v>
      <v t="s">_Format</v>
      <v t="s">%IsRefreshable</v>
      <v t="s">_CanonicalPropertyNames</v>
      <v t="s">%EntityCulture</v>
      <v t="s">%EntityId</v>
      <v t="s">_Icon</v>
      <v t="s">_Display</v>
      <v t="s">Nom</v>
      <v t="s">_SubLabel</v>
      <v t="s">Prix</v>
      <v t="s">Change</v>
      <v t="s">Dernière heure d'échange</v>
      <v t="s">Code mnémonique</v>
      <v t="s">Abréviation de change</v>
      <v t="s">Modifier</v>
      <v t="s">Modification (%)</v>
      <v t="s">Devise</v>
      <v t="s">Clôture précédente</v>
      <v t="s">Ouvrir</v>
      <v t="s">Haut</v>
      <v t="s">Bas</v>
      <v t="s">Volume</v>
      <v t="s">Type d'instrument</v>
      <v t="s">_Flags</v>
      <v t="s">UniqueName</v>
      <v t="s">_DisplayString</v>
      <v t="s">LearnMoreOnLink</v>
      <v t="s">%ProviderInfo</v>
    </a>
  </spbArrays>
  <spbData count="26">
    <spb s="0">
      <v>Low</v>
      <v>Name</v>
      <v>High</v>
      <v>Price</v>
      <v>Currency</v>
      <v>Open</v>
      <v>Change</v>
      <v>UniqueName</v>
      <v>From currency</v>
      <v>%ProviderInfo</v>
      <v>Ticker symbol</v>
      <v>Change (%)</v>
      <v>Instrument type</v>
      <v>Previous close</v>
      <v>52 week low</v>
      <v>52 week high</v>
      <v>Last trade time</v>
    </spb>
    <spb s="1">
      <v>0</v>
      <v>Name</v>
    </spb>
    <spb s="2">
      <v>0</v>
      <v>0</v>
      <v>0</v>
    </spb>
    <spb s="3">
      <v>2</v>
      <v>2</v>
    </spb>
    <spb s="4">
      <v>1</v>
      <v>2</v>
      <v>1</v>
      <v>1</v>
      <v>1</v>
      <v>1</v>
      <v>3</v>
      <v>4</v>
      <v>1</v>
      <v>1</v>
      <v>1</v>
      <v>5</v>
    </spb>
    <spb s="5">
      <v>GMT</v>
    </spb>
    <spb s="6">
      <v>6</v>
    </spb>
    <spb s="7">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8">
      <v>1</v>
      <v>Name</v>
      <v>LearnMoreOnLink</v>
    </spb>
    <spb s="9">
      <v>2</v>
      <v>2</v>
      <v>2</v>
      <v>2</v>
    </spb>
    <spb s="10">
      <v>1</v>
      <v>2</v>
      <v>7</v>
      <v>7</v>
      <v>1</v>
      <v>1</v>
      <v>1</v>
      <v>8</v>
      <v>8</v>
      <v>1</v>
      <v>8</v>
      <v>3</v>
      <v>4</v>
      <v>1</v>
      <v>9</v>
      <v>8</v>
      <v>1</v>
      <v>1</v>
      <v>10</v>
      <v>5</v>
    </spb>
    <spb s="11">
      <v>En temps réel  Nasdaq Dernière vente</v>
      <v xml:space="preserve">depuis la clôture précédente </v>
      <v>Source: Nasdaq Dernière vente</v>
      <v xml:space="preserve">depuis la clôture précédente </v>
      <v>GMT</v>
    </spb>
    <spb s="6">
      <v>1</v>
    </spb>
    <spb s="10">
      <v>11</v>
      <v>2</v>
      <v>7</v>
      <v>7</v>
      <v>11</v>
      <v>11</v>
      <v>11</v>
      <v>8</v>
      <v>8</v>
      <v>11</v>
      <v>8</v>
      <v>3</v>
      <v>4</v>
      <v>11</v>
      <v>9</v>
      <v>8</v>
      <v>11</v>
      <v>11</v>
      <v>12</v>
      <v>5</v>
    </spb>
    <spb s="12">
      <v>Différé de 15 minutes</v>
      <v xml:space="preserve">depuis la clôture précédente </v>
      <v xml:space="preserve">depuis la clôture précédente </v>
      <v>GMT</v>
    </spb>
    <spb s="6">
      <v>11</v>
    </spb>
    <spb s="13">
      <v>Low</v>
      <v>Name</v>
      <v>High</v>
      <v>Price</v>
      <v>Exchange</v>
      <v>Currency</v>
      <v>Open</v>
      <v>Volume</v>
      <v>Change</v>
      <v>UniqueName</v>
      <v>%ProviderInfo</v>
      <v>Ticker symbol</v>
      <v>LearnMoreOnLink</v>
      <v>Change (%)</v>
      <v>Expense ratio</v>
      <v>Instrument type</v>
      <v>Previous close</v>
      <v>Exchange abbreviation</v>
      <v>52 week low</v>
      <v>52 week high</v>
      <v>Market cap</v>
      <v>Last trade time</v>
    </spb>
    <spb s="8">
      <v>2</v>
      <v>Name</v>
      <v>LearnMoreOnLink</v>
    </spb>
    <spb s="14">
      <v>2</v>
      <v>2</v>
      <v>2</v>
    </spb>
    <spb s="15">
      <v>11</v>
      <v>2</v>
      <v>11</v>
      <v>11</v>
      <v>11</v>
      <v>8</v>
      <v>11</v>
      <v>3</v>
      <v>3</v>
      <v>4</v>
      <v>11</v>
      <v>11</v>
      <v>11</v>
      <v>12</v>
      <v>5</v>
    </spb>
    <spb s="10">
      <v>11</v>
      <v>2</v>
      <v>7</v>
      <v>7</v>
      <v>11</v>
      <v>11</v>
      <v>11</v>
      <v>8</v>
      <v>8</v>
      <v>11</v>
      <v>8</v>
      <v>3</v>
      <v>4</v>
      <v>11</v>
      <v>9</v>
      <v>8</v>
      <v>11</v>
      <v>11</v>
      <v>13</v>
      <v>5</v>
    </spb>
    <spb s="16">
      <v>Low</v>
      <v>Name</v>
      <v>High</v>
      <v>Price</v>
      <v>Exchange</v>
      <v>Currency</v>
      <v>Open</v>
      <v>Volume</v>
      <v>Change</v>
      <v>UniqueName</v>
      <v>%ProviderInfo</v>
      <v>Ticker symbol</v>
      <v>LearnMoreOnLink</v>
      <v>Change (%)</v>
      <v>Instrument type</v>
      <v>Previous close</v>
      <v>Exchange abbreviation</v>
      <v>Last trade time</v>
    </spb>
    <spb s="8">
      <v>3</v>
      <v>Name</v>
      <v>LearnMoreOnLink</v>
    </spb>
    <spb s="17">
      <v>11</v>
      <v>2</v>
      <v>11</v>
      <v>11</v>
      <v>11</v>
      <v>8</v>
      <v>11</v>
      <v>3</v>
      <v>4</v>
      <v>11</v>
      <v>5</v>
    </spb>
    <spb s="18">
      <v>6</v>
      <v>1</v>
    </spb>
    <spb s="18">
      <v>6</v>
      <v>11</v>
    </spb>
  </spbData>
</supportingPropertyBags>
</file>

<file path=xl/richData/rdsupportingpropertybagstructure.xml><?xml version="1.0" encoding="utf-8"?>
<spbStructures xmlns="http://schemas.microsoft.com/office/spreadsheetml/2017/richdata2" count="19">
  <s>
    <k n="Bas" t="s"/>
    <k n="Nom" t="s"/>
    <k n="Haut" t="s"/>
    <k n="Prix" t="s"/>
    <k n="Devise" t="s"/>
    <k n="Ouvrir" t="s"/>
    <k n="Modifier" t="s"/>
    <k n="UniqueName" t="s"/>
    <k n="De la devise" t="s"/>
    <k n="%ProviderInfo" t="s"/>
    <k n="Code mnémonique" t="s"/>
    <k n="Modification (%)" t="s"/>
    <k n="Type d'instrument" t="s"/>
    <k n="Clôture précédente" t="s"/>
    <k n="Bas depuis 52 semaines" t="s"/>
    <k n="Haut depuis 52 semaines" t="s"/>
    <k n="Dernière heure d'échange" t="s"/>
  </s>
  <s>
    <k n="^Order" t="spba"/>
    <k n="TitleProperty" t="s"/>
  </s>
  <s>
    <k n="ShowInCardView" t="b"/>
    <k n="ShowInDotNotation" t="b"/>
    <k n="ShowInAutoComplete" t="b"/>
  </s>
  <s>
    <k n="UniqueName" t="spb"/>
    <k n="`%ProviderInfo" t="spb"/>
  </s>
  <s>
    <k n="Bas" t="i"/>
    <k n="Nom" t="i"/>
    <k n="Haut" t="i"/>
    <k n="Prix" t="i"/>
    <k n="Ouvrir" t="i"/>
    <k n="Modifier" t="i"/>
    <k n="Modification (%)" t="i"/>
    <k n="`%EntityServiceId" t="i"/>
    <k n="Clôture précédente" t="i"/>
    <k n="Bas depuis 52 semaines" t="i"/>
    <k n="Haut depuis 52 semaines" t="i"/>
    <k n="Dernière heure d'échange" t="i"/>
  </s>
  <s>
    <k n="Dernière heure d'échange" t="s"/>
  </s>
  <s>
    <k n="_Self" t="i"/>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Order" t="spba"/>
    <k n="TitleProperty" t="s"/>
    <k n="SubTitleProperty" t="s"/>
  </s>
  <s>
    <k n="ExchangeID" t="spb"/>
    <k n="UniqueName" t="spb"/>
    <k n="`%ProviderInfo" t="spb"/>
    <k n="LearnMoreOnLink" t="spb"/>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Prix" t="s"/>
    <k n="Modifier" t="s"/>
    <k n="ExchangeID" t="s"/>
    <k n="Modification (%)" t="s"/>
    <k n="Dernière heure d'échange" t="s"/>
  </s>
  <s>
    <k n="Prix" t="s"/>
    <k n="Modifier" t="s"/>
    <k n="Modification (%)" t="s"/>
    <k n="Dernière heure d'échange" t="s"/>
  </s>
  <s>
    <k n="Bas" t="s"/>
    <k n="Nom" t="s"/>
    <k n="Haut" t="s"/>
    <k n="Prix" t="s"/>
    <k n="Change" t="s"/>
    <k n="Devise" t="s"/>
    <k n="Ouvrir" t="s"/>
    <k n="Volume" t="s"/>
    <k n="Modifier" t="s"/>
    <k n="UniqueName" t="s"/>
    <k n="%ProviderInfo" t="s"/>
    <k n="Code mnémonique" t="s"/>
    <k n="LearnMoreOnLink" t="s"/>
    <k n="Modification (%)" t="s"/>
    <k n="Taux de dépenses" t="s"/>
    <k n="Type d'instrument" t="s"/>
    <k n="Clôture précédente" t="s"/>
    <k n="Abréviation de change" t="s"/>
    <k n="Bas depuis 52 semaines" t="s"/>
    <k n="Haut depuis 52 semaines" t="s"/>
    <k n="Capitalisation boursière" t="s"/>
    <k n="Dernière heure d'échange" t="s"/>
  </s>
  <s>
    <k n="UniqueName" t="spb"/>
    <k n="`%ProviderInfo" t="spb"/>
    <k n="LearnMoreOnLink" t="spb"/>
  </s>
  <s>
    <k n="Bas" t="i"/>
    <k n="Nom" t="i"/>
    <k n="Haut" t="i"/>
    <k n="Prix" t="i"/>
    <k n="Ouvrir" t="i"/>
    <k n="Volume" t="i"/>
    <k n="Modifier" t="i"/>
    <k n="Modification (%)" t="i"/>
    <k n="Taux de dépenses" t="i"/>
    <k n="`%EntityServiceId" t="i"/>
    <k n="Clôture précédente" t="i"/>
    <k n="Bas depuis 52 semaines" t="i"/>
    <k n="Haut depuis 52 semaines" t="i"/>
    <k n="Capitalisation boursière" t="i"/>
    <k n="Dernière heure d'échange" t="i"/>
  </s>
  <s>
    <k n="Bas" t="s"/>
    <k n="Nom" t="s"/>
    <k n="Haut" t="s"/>
    <k n="Prix" t="s"/>
    <k n="Change" t="s"/>
    <k n="Devise" t="s"/>
    <k n="Ouvrir" t="s"/>
    <k n="Volume" t="s"/>
    <k n="Modifier" t="s"/>
    <k n="UniqueName" t="s"/>
    <k n="%ProviderInfo" t="s"/>
    <k n="Code mnémonique" t="s"/>
    <k n="LearnMoreOnLink" t="s"/>
    <k n="Modification (%)" t="s"/>
    <k n="Type d'instrument" t="s"/>
    <k n="Clôture précédente" t="s"/>
    <k n="Abréviation de change" t="s"/>
    <k n="Dernière heure d'échange" t="s"/>
  </s>
  <s>
    <k n="Bas" t="i"/>
    <k n="Nom" t="i"/>
    <k n="Haut" t="i"/>
    <k n="Prix" t="i"/>
    <k n="Ouvrir" t="i"/>
    <k n="Volume" t="i"/>
    <k n="Modifier" t="i"/>
    <k n="Modification (%)" t="i"/>
    <k n="`%EntityServiceId" t="i"/>
    <k n="Clôture précédente" t="i"/>
    <k n="Dernière heure d'échange"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ichProperties>
  <richStyles>
    <rSty dxfid="1">
      <rpv i="0">_([$$-en-US]* #,##0.00_);_([$$-en-US]* (#,##0.00);_([$$-en-US]* "-"??_);_(@_)</rpv>
    </rSty>
    <rSty>
      <rpv i="1">1</rpv>
    </rSty>
    <rSty dxfid="3"/>
    <rSty dxfid="0">
      <rpv i="0">0.00</rpv>
    </rSty>
    <rSty dxfid="2"/>
    <rSty dxfid="7"/>
    <rSty dxfid="5">
      <rpv i="0">#,##0.00</rpv>
    </rSty>
    <rSty dxfid="4">
      <rpv i="0">#,##0</rpv>
    </rSty>
    <rSty dxfid="6">
      <rpv i="0">0</rpv>
    </rSty>
    <rSty dxfid="1">
      <rpv i="0">_([$$-en-US]* #,##0_);_([$$-en-US]* (#,##0);_([$$-en-US]* "-"_);_(@_)</rpv>
    </rSty>
    <rSty dxfid="1">
      <rpv i="0">_([$€-x-euro2] * #,##0.00_);_([$€-x-euro2] * (#,##0.00);_([$€-x-euro2] * "-"??_);_(@_)</rpv>
    </rSty>
    <rSty dxfid="1">
      <rpv i="0">_([$€-x-euro2] * #,##0_);_([$€-x-euro2] * (#,##0);_([$€-x-euro2] * "-"_);_(@_)</rpv>
    </rSty>
    <rSty dxfid="1">
      <rpv i="0">_([$HK$-zh-HK]* #,##0_);_([$HK$-zh-HK]* (#,##0);_([$HK$-zh-HK]*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8426E8-403A-BC4A-B734-0B7350F6C45D}" name="Ledger" displayName="Ledger" ref="A3:I25" totalsRowShown="0">
  <autoFilter ref="A3:I25" xr:uid="{8F8426E8-403A-BC4A-B734-0B7350F6C45D}"/>
  <tableColumns count="9">
    <tableColumn id="1" xr3:uid="{DEE7F5D1-18C7-6D40-89C9-F43F525E2A44}" name="Date" dataDxfId="2"/>
    <tableColumn id="2" xr3:uid="{A111949C-18A8-454D-A76C-E98F4D8AEE96}" name="Stock"/>
    <tableColumn id="3" xr3:uid="{46C928A4-058A-684A-BE6A-85C384F23400}" name="Transaction"/>
    <tableColumn id="4" xr3:uid="{4F94175B-2E48-264D-9E05-75445085D7C7}" name="Units"/>
    <tableColumn id="5" xr3:uid="{AA828BDB-23F6-2547-A681-3D8D8BC80D0F}" name="Price"/>
    <tableColumn id="6" xr3:uid="{876170C2-DA86-0A43-8F85-9CC9C9289DB2}" name="Currency"/>
    <tableColumn id="9" xr3:uid="{36DEF0A1-26BD-CA4D-9937-04A74D1D9471}" name="FX Rate" dataDxfId="1">
      <calculatedColumnFormula>IF(F4="EUR",1,$K$4)</calculatedColumnFormula>
    </tableColumn>
    <tableColumn id="7" xr3:uid="{F2499212-9291-1C42-A525-0B645F23B225}" name="Transaction Amount"/>
    <tableColumn id="8" xr3:uid="{FD7E3EB9-3D62-414A-A56B-774F3715A245}" name="Ticker" dataDxfId="0">
      <calculatedColumnFormula array="1">_FV(Ledger[ [#This Row],[Stock] ],"Code mnémonique",TRUE)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E28E-54AF-D04D-A4F8-20DABA5544A2}">
  <dimension ref="A1:JF20"/>
  <sheetViews>
    <sheetView showGridLines="0" topLeftCell="A4" zoomScale="116" workbookViewId="0">
      <selection activeCell="H5" sqref="H5"/>
    </sheetView>
  </sheetViews>
  <sheetFormatPr baseColWidth="10" defaultRowHeight="16" x14ac:dyDescent="0.2"/>
  <cols>
    <col min="1" max="1" width="2.83203125" customWidth="1"/>
    <col min="2" max="2" width="48.5" bestFit="1" customWidth="1"/>
    <col min="3" max="3" width="38.33203125" bestFit="1" customWidth="1"/>
    <col min="4" max="4" width="10.83203125" customWidth="1"/>
    <col min="6" max="6" width="12" bestFit="1" customWidth="1"/>
    <col min="7" max="7" width="11.5" customWidth="1"/>
    <col min="8" max="8" width="9.1640625" customWidth="1"/>
    <col min="9" max="9" width="10.83203125" customWidth="1"/>
    <col min="11" max="11" width="15.83203125" customWidth="1"/>
  </cols>
  <sheetData>
    <row r="1" spans="1:266" ht="58" customHeight="1" x14ac:dyDescent="0.45">
      <c r="A1" s="1"/>
      <c r="B1" s="2"/>
      <c r="C1" s="2"/>
      <c r="D1" s="2"/>
      <c r="E1" s="2"/>
      <c r="F1" s="2"/>
      <c r="G1" s="10" t="s">
        <v>22</v>
      </c>
      <c r="H1" s="15" t="s">
        <v>24</v>
      </c>
      <c r="I1" s="16" t="s">
        <v>20</v>
      </c>
      <c r="J1" s="2"/>
      <c r="K1" s="18" t="e" vm="1">
        <v>#VALUE!</v>
      </c>
    </row>
    <row r="2" spans="1:266" ht="38" customHeight="1" x14ac:dyDescent="0.2">
      <c r="A2" s="2"/>
      <c r="B2" s="2"/>
      <c r="C2" s="2"/>
      <c r="D2" s="2"/>
      <c r="E2" s="2"/>
      <c r="F2" s="2"/>
      <c r="G2" s="13">
        <f ca="1">SUM(_xlfn.ANCHORARRAY(G6))</f>
        <v>1411.9906999999998</v>
      </c>
      <c r="H2" s="14">
        <f ca="1">SUM(H6:H12)</f>
        <v>-30.782900000000033</v>
      </c>
      <c r="I2" s="17">
        <f ca="1">H2/ (G2-H2)</f>
        <v>-2.1335918539124945E-2</v>
      </c>
      <c r="J2" s="2"/>
      <c r="K2" s="19" cm="1">
        <f t="array" aca="1" ref="K2" ca="1">_FV(K1,"Prix")</f>
        <v>1.1565000000000001</v>
      </c>
    </row>
    <row r="4" spans="1:266" x14ac:dyDescent="0.2">
      <c r="B4" s="5" t="s">
        <v>12</v>
      </c>
      <c r="C4" s="4"/>
      <c r="D4" s="4"/>
      <c r="E4" s="4"/>
      <c r="F4" s="4"/>
      <c r="G4" s="4"/>
      <c r="H4" s="4"/>
      <c r="I4" s="4"/>
      <c r="J4" s="4"/>
      <c r="K4" s="4"/>
    </row>
    <row r="5" spans="1:266" x14ac:dyDescent="0.2">
      <c r="B5" s="6" t="s">
        <v>13</v>
      </c>
      <c r="C5" s="6" t="s">
        <v>14</v>
      </c>
      <c r="D5" s="6" t="s">
        <v>5</v>
      </c>
      <c r="E5" s="6" t="s">
        <v>3</v>
      </c>
      <c r="F5" s="6" t="s">
        <v>15</v>
      </c>
      <c r="G5" s="6" t="s">
        <v>16</v>
      </c>
      <c r="H5" s="6" t="s">
        <v>21</v>
      </c>
      <c r="I5" s="6" t="s">
        <v>20</v>
      </c>
      <c r="J5" s="6" t="s">
        <v>17</v>
      </c>
      <c r="K5" s="6" t="s">
        <v>18</v>
      </c>
      <c r="M5" cm="1" vm="2">
        <f t="array" aca="1" ref="M5:JA6" ca="1">TRANSPOSE(_xlfn.STOCKHISTORY(B6,TODAY()-365,TODAY(),0,0,0,1))</f>
        <v>45607</v>
      </c>
      <c r="N5" vm="3">
        <f ca="1"/>
        <v>45608</v>
      </c>
      <c r="O5" vm="4">
        <f ca="1"/>
        <v>45609</v>
      </c>
      <c r="P5" vm="5">
        <f ca="1"/>
        <v>45610</v>
      </c>
      <c r="Q5" vm="6">
        <f ca="1"/>
        <v>45611</v>
      </c>
      <c r="R5" vm="7">
        <f ca="1"/>
        <v>45614</v>
      </c>
      <c r="S5" vm="8">
        <f ca="1"/>
        <v>45615</v>
      </c>
      <c r="T5" vm="9">
        <f ca="1"/>
        <v>45616</v>
      </c>
      <c r="U5" vm="10">
        <f ca="1"/>
        <v>45617</v>
      </c>
      <c r="V5" vm="11">
        <f ca="1"/>
        <v>45618</v>
      </c>
      <c r="W5" vm="12">
        <f ca="1"/>
        <v>45621</v>
      </c>
      <c r="X5" vm="13">
        <f ca="1"/>
        <v>45622</v>
      </c>
      <c r="Y5" vm="14">
        <f ca="1"/>
        <v>45623</v>
      </c>
      <c r="Z5" vm="15">
        <f ca="1"/>
        <v>45625</v>
      </c>
      <c r="AA5" vm="16">
        <f ca="1"/>
        <v>45628</v>
      </c>
      <c r="AB5" vm="17">
        <f ca="1"/>
        <v>45629</v>
      </c>
      <c r="AC5" vm="18">
        <f ca="1"/>
        <v>45630</v>
      </c>
      <c r="AD5" vm="19">
        <f ca="1"/>
        <v>45631</v>
      </c>
      <c r="AE5" vm="20">
        <f ca="1"/>
        <v>45632</v>
      </c>
      <c r="AF5" vm="21">
        <f ca="1"/>
        <v>45635</v>
      </c>
      <c r="AG5" vm="22">
        <f ca="1"/>
        <v>45636</v>
      </c>
      <c r="AH5" vm="23">
        <f ca="1"/>
        <v>45637</v>
      </c>
      <c r="AI5" vm="24">
        <f ca="1"/>
        <v>45638</v>
      </c>
      <c r="AJ5" vm="25">
        <f ca="1"/>
        <v>45639</v>
      </c>
      <c r="AK5" vm="26">
        <f ca="1"/>
        <v>45642</v>
      </c>
      <c r="AL5" vm="27">
        <f ca="1"/>
        <v>45643</v>
      </c>
      <c r="AM5" vm="28">
        <f ca="1"/>
        <v>45644</v>
      </c>
      <c r="AN5" vm="29">
        <f ca="1"/>
        <v>45645</v>
      </c>
      <c r="AO5" vm="30">
        <f ca="1"/>
        <v>45646</v>
      </c>
      <c r="AP5" vm="31">
        <f ca="1"/>
        <v>45649</v>
      </c>
      <c r="AQ5" vm="32">
        <f ca="1"/>
        <v>45650</v>
      </c>
      <c r="AR5" vm="33">
        <f ca="1"/>
        <v>45652</v>
      </c>
      <c r="AS5" vm="34">
        <f ca="1"/>
        <v>45653</v>
      </c>
      <c r="AT5" vm="35">
        <f ca="1"/>
        <v>45656</v>
      </c>
      <c r="AU5" vm="36">
        <f ca="1"/>
        <v>45657</v>
      </c>
      <c r="AV5" vm="37">
        <f ca="1"/>
        <v>45659</v>
      </c>
      <c r="AW5" vm="38">
        <f ca="1"/>
        <v>45660</v>
      </c>
      <c r="AX5" vm="39">
        <f ca="1"/>
        <v>45663</v>
      </c>
      <c r="AY5" vm="40">
        <f ca="1"/>
        <v>45664</v>
      </c>
      <c r="AZ5" vm="41">
        <f ca="1"/>
        <v>45665</v>
      </c>
      <c r="BA5" vm="42">
        <f ca="1"/>
        <v>45667</v>
      </c>
      <c r="BB5" vm="43">
        <f ca="1"/>
        <v>45670</v>
      </c>
      <c r="BC5" vm="44">
        <f ca="1"/>
        <v>45671</v>
      </c>
      <c r="BD5" vm="45">
        <f ca="1"/>
        <v>45672</v>
      </c>
      <c r="BE5" vm="46">
        <f ca="1"/>
        <v>45673</v>
      </c>
      <c r="BF5" vm="47">
        <f ca="1"/>
        <v>45674</v>
      </c>
      <c r="BG5" vm="48">
        <f ca="1"/>
        <v>45678</v>
      </c>
      <c r="BH5" vm="49">
        <f ca="1"/>
        <v>45679</v>
      </c>
      <c r="BI5" vm="50">
        <f ca="1"/>
        <v>45680</v>
      </c>
      <c r="BJ5" vm="51">
        <f ca="1"/>
        <v>45681</v>
      </c>
      <c r="BK5" vm="52">
        <f ca="1"/>
        <v>45684</v>
      </c>
      <c r="BL5" vm="53">
        <f ca="1"/>
        <v>45685</v>
      </c>
      <c r="BM5" vm="54">
        <f ca="1"/>
        <v>45686</v>
      </c>
      <c r="BN5" vm="55">
        <f ca="1"/>
        <v>45687</v>
      </c>
      <c r="BO5" vm="56">
        <f ca="1"/>
        <v>45688</v>
      </c>
      <c r="BP5" vm="57">
        <f ca="1"/>
        <v>45691</v>
      </c>
      <c r="BQ5" vm="58">
        <f ca="1"/>
        <v>45692</v>
      </c>
      <c r="BR5" vm="59">
        <f ca="1"/>
        <v>45693</v>
      </c>
      <c r="BS5" vm="60">
        <f ca="1"/>
        <v>45694</v>
      </c>
      <c r="BT5" vm="61">
        <f ca="1"/>
        <v>45695</v>
      </c>
      <c r="BU5" vm="62">
        <f ca="1"/>
        <v>45698</v>
      </c>
      <c r="BV5" vm="63">
        <f ca="1"/>
        <v>45699</v>
      </c>
      <c r="BW5" vm="64">
        <f ca="1"/>
        <v>45700</v>
      </c>
      <c r="BX5" vm="65">
        <f ca="1"/>
        <v>45701</v>
      </c>
      <c r="BY5" vm="66">
        <f ca="1"/>
        <v>45702</v>
      </c>
      <c r="BZ5" vm="67">
        <f ca="1"/>
        <v>45706</v>
      </c>
      <c r="CA5" vm="68">
        <f ca="1"/>
        <v>45707</v>
      </c>
      <c r="CB5" vm="69">
        <f ca="1"/>
        <v>45708</v>
      </c>
      <c r="CC5" vm="70">
        <f ca="1"/>
        <v>45709</v>
      </c>
      <c r="CD5" vm="71">
        <f ca="1"/>
        <v>45712</v>
      </c>
      <c r="CE5" vm="72">
        <f ca="1"/>
        <v>45713</v>
      </c>
      <c r="CF5" vm="73">
        <f ca="1"/>
        <v>45714</v>
      </c>
      <c r="CG5" vm="74">
        <f ca="1"/>
        <v>45715</v>
      </c>
      <c r="CH5" vm="75">
        <f ca="1"/>
        <v>45716</v>
      </c>
      <c r="CI5" vm="76">
        <f ca="1"/>
        <v>45719</v>
      </c>
      <c r="CJ5" vm="77">
        <f ca="1"/>
        <v>45720</v>
      </c>
      <c r="CK5" vm="78">
        <f ca="1"/>
        <v>45721</v>
      </c>
      <c r="CL5" vm="79">
        <f ca="1"/>
        <v>45722</v>
      </c>
      <c r="CM5" vm="80">
        <f ca="1"/>
        <v>45723</v>
      </c>
      <c r="CN5" vm="81">
        <f ca="1"/>
        <v>45726</v>
      </c>
      <c r="CO5" vm="82">
        <f ca="1"/>
        <v>45727</v>
      </c>
      <c r="CP5" vm="83">
        <f ca="1"/>
        <v>45728</v>
      </c>
      <c r="CQ5" vm="84">
        <f ca="1"/>
        <v>45729</v>
      </c>
      <c r="CR5" vm="85">
        <f ca="1"/>
        <v>45730</v>
      </c>
      <c r="CS5" vm="86">
        <f ca="1"/>
        <v>45733</v>
      </c>
      <c r="CT5" vm="87">
        <f ca="1"/>
        <v>45734</v>
      </c>
      <c r="CU5" vm="88">
        <f ca="1"/>
        <v>45735</v>
      </c>
      <c r="CV5" vm="89">
        <f ca="1"/>
        <v>45736</v>
      </c>
      <c r="CW5" vm="90">
        <f ca="1"/>
        <v>45737</v>
      </c>
      <c r="CX5" vm="91">
        <f ca="1"/>
        <v>45740</v>
      </c>
      <c r="CY5" vm="92">
        <f ca="1"/>
        <v>45741</v>
      </c>
      <c r="CZ5" vm="93">
        <f ca="1"/>
        <v>45742</v>
      </c>
      <c r="DA5" vm="94">
        <f ca="1"/>
        <v>45743</v>
      </c>
      <c r="DB5" vm="95">
        <f ca="1"/>
        <v>45744</v>
      </c>
      <c r="DC5" vm="96">
        <f ca="1"/>
        <v>45747</v>
      </c>
      <c r="DD5" vm="97">
        <f ca="1"/>
        <v>45748</v>
      </c>
      <c r="DE5" vm="98">
        <f ca="1"/>
        <v>45749</v>
      </c>
      <c r="DF5" vm="99">
        <f ca="1"/>
        <v>45750</v>
      </c>
      <c r="DG5" vm="100">
        <f ca="1"/>
        <v>45751</v>
      </c>
      <c r="DH5" vm="101">
        <f ca="1"/>
        <v>45754</v>
      </c>
      <c r="DI5" vm="102">
        <f ca="1"/>
        <v>45755</v>
      </c>
      <c r="DJ5" vm="103">
        <f ca="1"/>
        <v>45756</v>
      </c>
      <c r="DK5" vm="104">
        <f ca="1"/>
        <v>45757</v>
      </c>
      <c r="DL5" vm="105">
        <f ca="1"/>
        <v>45758</v>
      </c>
      <c r="DM5" vm="106">
        <f ca="1"/>
        <v>45761</v>
      </c>
      <c r="DN5" vm="107">
        <f ca="1"/>
        <v>45762</v>
      </c>
      <c r="DO5" vm="108">
        <f ca="1"/>
        <v>45763</v>
      </c>
      <c r="DP5" vm="109">
        <f ca="1"/>
        <v>45764</v>
      </c>
      <c r="DQ5" vm="110">
        <f ca="1"/>
        <v>45768</v>
      </c>
      <c r="DR5" vm="111">
        <f ca="1"/>
        <v>45769</v>
      </c>
      <c r="DS5" vm="112">
        <f ca="1"/>
        <v>45770</v>
      </c>
      <c r="DT5" vm="113">
        <f ca="1"/>
        <v>45771</v>
      </c>
      <c r="DU5" vm="114">
        <f ca="1"/>
        <v>45772</v>
      </c>
      <c r="DV5" vm="115">
        <f ca="1"/>
        <v>45775</v>
      </c>
      <c r="DW5" vm="116">
        <f ca="1"/>
        <v>45776</v>
      </c>
      <c r="DX5" vm="117">
        <f ca="1"/>
        <v>45777</v>
      </c>
      <c r="DY5" vm="118">
        <f ca="1"/>
        <v>45778</v>
      </c>
      <c r="DZ5" vm="119">
        <f ca="1"/>
        <v>45779</v>
      </c>
      <c r="EA5" vm="120">
        <f ca="1"/>
        <v>45782</v>
      </c>
      <c r="EB5" vm="121">
        <f ca="1"/>
        <v>45783</v>
      </c>
      <c r="EC5" vm="122">
        <f ca="1"/>
        <v>45784</v>
      </c>
      <c r="ED5" vm="123">
        <f ca="1"/>
        <v>45785</v>
      </c>
      <c r="EE5" vm="124">
        <f ca="1"/>
        <v>45786</v>
      </c>
      <c r="EF5" vm="125">
        <f ca="1"/>
        <v>45789</v>
      </c>
      <c r="EG5" vm="126">
        <f ca="1"/>
        <v>45790</v>
      </c>
      <c r="EH5" vm="127">
        <f ca="1"/>
        <v>45791</v>
      </c>
      <c r="EI5" vm="128">
        <f ca="1"/>
        <v>45792</v>
      </c>
      <c r="EJ5" vm="129">
        <f ca="1"/>
        <v>45793</v>
      </c>
      <c r="EK5" vm="130">
        <f ca="1"/>
        <v>45796</v>
      </c>
      <c r="EL5" vm="131">
        <f ca="1"/>
        <v>45797</v>
      </c>
      <c r="EM5" vm="132">
        <f ca="1"/>
        <v>45798</v>
      </c>
      <c r="EN5" vm="133">
        <f ca="1"/>
        <v>45799</v>
      </c>
      <c r="EO5" vm="134">
        <f ca="1"/>
        <v>45800</v>
      </c>
      <c r="EP5" vm="135">
        <f ca="1"/>
        <v>45804</v>
      </c>
      <c r="EQ5" vm="136">
        <f ca="1"/>
        <v>45805</v>
      </c>
      <c r="ER5" vm="137">
        <f ca="1"/>
        <v>45806</v>
      </c>
      <c r="ES5" vm="138">
        <f ca="1"/>
        <v>45807</v>
      </c>
      <c r="ET5" vm="139">
        <f ca="1"/>
        <v>45810</v>
      </c>
      <c r="EU5" vm="140">
        <f ca="1"/>
        <v>45811</v>
      </c>
      <c r="EV5" vm="141">
        <f ca="1"/>
        <v>45812</v>
      </c>
      <c r="EW5" vm="142">
        <f ca="1"/>
        <v>45813</v>
      </c>
      <c r="EX5" vm="143">
        <f ca="1"/>
        <v>45814</v>
      </c>
      <c r="EY5" vm="144">
        <f ca="1"/>
        <v>45817</v>
      </c>
      <c r="EZ5" vm="145">
        <f ca="1"/>
        <v>45818</v>
      </c>
      <c r="FA5" vm="146">
        <f ca="1"/>
        <v>45819</v>
      </c>
      <c r="FB5" vm="147">
        <f ca="1"/>
        <v>45820</v>
      </c>
      <c r="FC5" vm="148">
        <f ca="1"/>
        <v>45821</v>
      </c>
      <c r="FD5" vm="149">
        <f ca="1"/>
        <v>45824</v>
      </c>
      <c r="FE5" vm="150">
        <f ca="1"/>
        <v>45825</v>
      </c>
      <c r="FF5" vm="151">
        <f ca="1"/>
        <v>45826</v>
      </c>
      <c r="FG5" vm="152">
        <f ca="1"/>
        <v>45828</v>
      </c>
      <c r="FH5" vm="153">
        <f ca="1"/>
        <v>45831</v>
      </c>
      <c r="FI5" vm="154">
        <f ca="1"/>
        <v>45832</v>
      </c>
      <c r="FJ5" vm="155">
        <f ca="1"/>
        <v>45833</v>
      </c>
      <c r="FK5" vm="156">
        <f ca="1"/>
        <v>45834</v>
      </c>
      <c r="FL5" vm="157">
        <f ca="1"/>
        <v>45835</v>
      </c>
      <c r="FM5" vm="158">
        <f ca="1"/>
        <v>45838</v>
      </c>
      <c r="FN5" vm="159">
        <f ca="1"/>
        <v>45839</v>
      </c>
      <c r="FO5" vm="160">
        <f ca="1"/>
        <v>45840</v>
      </c>
      <c r="FP5" vm="161">
        <f ca="1"/>
        <v>45841</v>
      </c>
      <c r="FQ5" vm="162">
        <f ca="1"/>
        <v>45845</v>
      </c>
      <c r="FR5" vm="163">
        <f ca="1"/>
        <v>45846</v>
      </c>
      <c r="FS5" vm="164">
        <f ca="1"/>
        <v>45847</v>
      </c>
      <c r="FT5" vm="165">
        <f ca="1"/>
        <v>45848</v>
      </c>
      <c r="FU5" vm="166">
        <f ca="1"/>
        <v>45849</v>
      </c>
      <c r="FV5" vm="167">
        <f ca="1"/>
        <v>45852</v>
      </c>
      <c r="FW5" vm="168">
        <f ca="1"/>
        <v>45853</v>
      </c>
      <c r="FX5" vm="169">
        <f ca="1"/>
        <v>45854</v>
      </c>
      <c r="FY5" vm="170">
        <f ca="1"/>
        <v>45855</v>
      </c>
      <c r="FZ5" vm="171">
        <f ca="1"/>
        <v>45856</v>
      </c>
      <c r="GA5" vm="172">
        <f ca="1"/>
        <v>45859</v>
      </c>
      <c r="GB5" vm="173">
        <f ca="1"/>
        <v>45860</v>
      </c>
      <c r="GC5" vm="174">
        <f ca="1"/>
        <v>45861</v>
      </c>
      <c r="GD5" vm="175">
        <f ca="1"/>
        <v>45862</v>
      </c>
      <c r="GE5" vm="176">
        <f ca="1"/>
        <v>45863</v>
      </c>
      <c r="GF5" vm="177">
        <f ca="1"/>
        <v>45866</v>
      </c>
      <c r="GG5" vm="178">
        <f ca="1"/>
        <v>45867</v>
      </c>
      <c r="GH5" vm="179">
        <f ca="1"/>
        <v>45868</v>
      </c>
      <c r="GI5" vm="180">
        <f ca="1"/>
        <v>45869</v>
      </c>
      <c r="GJ5" vm="181">
        <f ca="1"/>
        <v>45870</v>
      </c>
      <c r="GK5" vm="182">
        <f ca="1"/>
        <v>45873</v>
      </c>
      <c r="GL5" vm="183">
        <f ca="1"/>
        <v>45874</v>
      </c>
      <c r="GM5" vm="184">
        <f ca="1"/>
        <v>45875</v>
      </c>
      <c r="GN5" vm="185">
        <f ca="1"/>
        <v>45876</v>
      </c>
      <c r="GO5" vm="186">
        <f ca="1"/>
        <v>45877</v>
      </c>
      <c r="GP5" vm="187">
        <f ca="1"/>
        <v>45880</v>
      </c>
      <c r="GQ5" vm="188">
        <f ca="1"/>
        <v>45881</v>
      </c>
      <c r="GR5" vm="189">
        <f ca="1"/>
        <v>45882</v>
      </c>
      <c r="GS5" vm="190">
        <f ca="1"/>
        <v>45883</v>
      </c>
      <c r="GT5" vm="191">
        <f ca="1"/>
        <v>45884</v>
      </c>
      <c r="GU5" vm="192">
        <f ca="1"/>
        <v>45887</v>
      </c>
      <c r="GV5" vm="193">
        <f ca="1"/>
        <v>45888</v>
      </c>
      <c r="GW5" vm="194">
        <f ca="1"/>
        <v>45889</v>
      </c>
      <c r="GX5" vm="195">
        <f ca="1"/>
        <v>45890</v>
      </c>
      <c r="GY5" vm="196">
        <f ca="1"/>
        <v>45891</v>
      </c>
      <c r="GZ5" vm="197">
        <f ca="1"/>
        <v>45894</v>
      </c>
      <c r="HA5" vm="198">
        <f ca="1"/>
        <v>45895</v>
      </c>
      <c r="HB5" vm="199">
        <f ca="1"/>
        <v>45896</v>
      </c>
      <c r="HC5" vm="200">
        <f ca="1"/>
        <v>45897</v>
      </c>
      <c r="HD5" vm="201">
        <f ca="1"/>
        <v>45898</v>
      </c>
      <c r="HE5" vm="202">
        <f ca="1"/>
        <v>45902</v>
      </c>
      <c r="HF5" vm="203">
        <f ca="1"/>
        <v>45903</v>
      </c>
      <c r="HG5" vm="204">
        <f ca="1"/>
        <v>45904</v>
      </c>
      <c r="HH5" vm="205">
        <f ca="1"/>
        <v>45905</v>
      </c>
      <c r="HI5" vm="206">
        <f ca="1"/>
        <v>45908</v>
      </c>
      <c r="HJ5" vm="207">
        <f ca="1"/>
        <v>45909</v>
      </c>
      <c r="HK5" vm="208">
        <f ca="1"/>
        <v>45910</v>
      </c>
      <c r="HL5" vm="209">
        <f ca="1"/>
        <v>45911</v>
      </c>
      <c r="HM5" vm="210">
        <f ca="1"/>
        <v>45912</v>
      </c>
      <c r="HN5" vm="211">
        <f ca="1"/>
        <v>45915</v>
      </c>
      <c r="HO5" vm="212">
        <f ca="1"/>
        <v>45916</v>
      </c>
      <c r="HP5" vm="213">
        <f ca="1"/>
        <v>45917</v>
      </c>
      <c r="HQ5" vm="214">
        <f ca="1"/>
        <v>45918</v>
      </c>
      <c r="HR5" vm="215">
        <f ca="1"/>
        <v>45919</v>
      </c>
      <c r="HS5" vm="216">
        <f ca="1"/>
        <v>45922</v>
      </c>
      <c r="HT5" vm="217">
        <f ca="1"/>
        <v>45923</v>
      </c>
      <c r="HU5" vm="218">
        <f ca="1"/>
        <v>45924</v>
      </c>
      <c r="HV5" vm="219">
        <f ca="1"/>
        <v>45925</v>
      </c>
      <c r="HW5" vm="220">
        <f ca="1"/>
        <v>45926</v>
      </c>
      <c r="HX5" vm="221">
        <f ca="1"/>
        <v>45929</v>
      </c>
      <c r="HY5" vm="222">
        <f ca="1"/>
        <v>45930</v>
      </c>
      <c r="HZ5" vm="223">
        <f ca="1"/>
        <v>45931</v>
      </c>
      <c r="IA5" vm="224">
        <f ca="1"/>
        <v>45932</v>
      </c>
      <c r="IB5" vm="225">
        <f ca="1"/>
        <v>45933</v>
      </c>
      <c r="IC5" vm="226">
        <f ca="1"/>
        <v>45936</v>
      </c>
      <c r="ID5" vm="227">
        <f ca="1"/>
        <v>45937</v>
      </c>
      <c r="IE5" vm="228">
        <f ca="1"/>
        <v>45938</v>
      </c>
      <c r="IF5" vm="229">
        <f ca="1"/>
        <v>45939</v>
      </c>
      <c r="IG5" vm="230">
        <f ca="1"/>
        <v>45940</v>
      </c>
      <c r="IH5" vm="231">
        <f ca="1"/>
        <v>45943</v>
      </c>
      <c r="II5" vm="232">
        <f ca="1"/>
        <v>45944</v>
      </c>
      <c r="IJ5" vm="233">
        <f ca="1"/>
        <v>45945</v>
      </c>
      <c r="IK5" vm="234">
        <f ca="1"/>
        <v>45946</v>
      </c>
      <c r="IL5" vm="235">
        <f ca="1"/>
        <v>45947</v>
      </c>
      <c r="IM5" vm="236">
        <f ca="1"/>
        <v>45950</v>
      </c>
      <c r="IN5" vm="237">
        <f ca="1"/>
        <v>45951</v>
      </c>
      <c r="IO5" vm="238">
        <f ca="1"/>
        <v>45952</v>
      </c>
      <c r="IP5" vm="239">
        <f ca="1"/>
        <v>45953</v>
      </c>
      <c r="IQ5" vm="240">
        <f ca="1"/>
        <v>45954</v>
      </c>
      <c r="IR5" vm="241">
        <f ca="1"/>
        <v>45957</v>
      </c>
      <c r="IS5" vm="242">
        <f ca="1"/>
        <v>45958</v>
      </c>
      <c r="IT5" vm="243">
        <f ca="1"/>
        <v>45959</v>
      </c>
      <c r="IU5" vm="244">
        <f ca="1"/>
        <v>45960</v>
      </c>
      <c r="IV5" vm="245">
        <f ca="1"/>
        <v>45961</v>
      </c>
      <c r="IW5" vm="246">
        <f ca="1"/>
        <v>45964</v>
      </c>
      <c r="IX5" vm="247">
        <f ca="1"/>
        <v>45965</v>
      </c>
      <c r="IY5" vm="248">
        <f ca="1"/>
        <v>45966</v>
      </c>
      <c r="IZ5" vm="249">
        <f ca="1"/>
        <v>45967</v>
      </c>
      <c r="JA5" vm="250">
        <f ca="1"/>
        <v>45968</v>
      </c>
    </row>
    <row r="6" spans="1:266" ht="20" customHeight="1" x14ac:dyDescent="0.2">
      <c r="B6" t="e" cm="1" vm="251">
        <f t="array" ref="B6:B11">_xlfn._xlws.SORT(_xlfn.UNIQUE(_xlfn._xlws.FILTER(Ledger[Stock],SUMIF( Ledger[Stock],Ledger[Stock],Ledger[Units])&lt;&gt;0)))</f>
        <v>#VALUE!</v>
      </c>
      <c r="C6" t="str" cm="1">
        <f t="array" aca="1" ref="C6:C11" ca="1">IFERROR(_FV(_xlfn.ANCHORARRAY(B6),"Industrie"),"ETF")</f>
        <v>Diversified Retail</v>
      </c>
      <c r="D6" t="str" cm="1">
        <f t="array" aca="1" ref="D6:D11" ca="1">_FV(_xlfn.ANCHORARRAY(B6),"Devise")</f>
        <v>USD</v>
      </c>
      <c r="E6" cm="1">
        <f t="array" ref="E6:E11">SUMIF(Ledger[Stock],_xlfn.ANCHORARRAY(B6),Ledger[Units])</f>
        <v>0.21</v>
      </c>
      <c r="F6" cm="1">
        <f t="array" aca="1" ref="F6:F11" ca="1">IF(C6="USD",_FV(_xlfn.ANCHORARRAY( B6),"Prix",TRUE)*$K$4,_FV(_xlfn.ANCHORARRAY( B6),"Prix",TRUE))</f>
        <v>244.41</v>
      </c>
      <c r="G6" cm="1">
        <f t="array" aca="1" ref="G6:G11" ca="1">_xlfn.ANCHORARRAY(E6)*_xlfn.ANCHORARRAY(F6)</f>
        <v>51.326099999999997</v>
      </c>
      <c r="H6" s="11" cm="1">
        <f t="array" aca="1" ref="H6" ca="1">(F6-IF(C6="USD",_FV( B6,"Clôture précédente",TRUE)*$K$4,_FV( B6,"Clôture précédente",TRUE)))*E6</f>
        <v>0.28770000000000095</v>
      </c>
      <c r="I6" s="8" cm="1">
        <f t="array" aca="1" ref="I6" ca="1">(F6-_FV(B6,"Clôture précédente",TRUE))/_FV(B6,"Clôture précédente",TRUE)</f>
        <v>5.6369321922317504E-3</v>
      </c>
      <c r="J6" s="12" cm="1">
        <f t="array" aca="1" ref="J6:J11" ca="1">-SUMIF(Ledger[Stock],_xlfn.ANCHORARRAY(B6), Ledger[Transaction Amount])+_xlfn.ANCHORARRAY(G6)</f>
        <v>1.3260999999999967</v>
      </c>
      <c r="K6" t="s">
        <v>19</v>
      </c>
      <c r="M6" vm="252">
        <f ca="1"/>
        <v>206.84</v>
      </c>
      <c r="N6" vm="253">
        <f ca="1"/>
        <v>208.91</v>
      </c>
      <c r="O6" vm="254">
        <f ca="1"/>
        <v>214.1</v>
      </c>
      <c r="P6" vm="255">
        <f ca="1"/>
        <v>211.48</v>
      </c>
      <c r="Q6" vm="256">
        <f ca="1"/>
        <v>202.61</v>
      </c>
      <c r="R6" vm="257">
        <f ca="1"/>
        <v>201.7</v>
      </c>
      <c r="S6" vm="258">
        <f ca="1"/>
        <v>204.61</v>
      </c>
      <c r="T6" vm="259">
        <f ca="1"/>
        <v>202.88</v>
      </c>
      <c r="U6" vm="260">
        <f ca="1"/>
        <v>198.38</v>
      </c>
      <c r="V6" vm="261">
        <f ca="1"/>
        <v>197.12</v>
      </c>
      <c r="W6" vm="262">
        <f ca="1"/>
        <v>201.45</v>
      </c>
      <c r="X6" vm="263">
        <f ca="1"/>
        <v>207.86</v>
      </c>
      <c r="Y6" vm="264">
        <f ca="1"/>
        <v>205.74</v>
      </c>
      <c r="Z6" vm="265">
        <f ca="1"/>
        <v>207.89</v>
      </c>
      <c r="AA6" vm="266">
        <f ca="1"/>
        <v>210.71</v>
      </c>
      <c r="AB6" vm="267">
        <f ca="1"/>
        <v>213.44</v>
      </c>
      <c r="AC6" vm="268">
        <f ca="1"/>
        <v>218.16</v>
      </c>
      <c r="AD6" vm="269">
        <f ca="1"/>
        <v>220.55</v>
      </c>
      <c r="AE6" vm="270">
        <f ca="1"/>
        <v>227.03</v>
      </c>
      <c r="AF6" vm="271">
        <f ca="1"/>
        <v>226.09</v>
      </c>
      <c r="AG6" vm="272">
        <f ca="1"/>
        <v>225.04</v>
      </c>
      <c r="AH6" vm="273">
        <f ca="1"/>
        <v>230.26</v>
      </c>
      <c r="AI6" vm="274">
        <f ca="1"/>
        <v>228.97</v>
      </c>
      <c r="AJ6" vm="275">
        <f ca="1"/>
        <v>227.46</v>
      </c>
      <c r="AK6" vm="276">
        <f ca="1"/>
        <v>232.93</v>
      </c>
      <c r="AL6" vm="277">
        <f ca="1"/>
        <v>231.15</v>
      </c>
      <c r="AM6" vm="278">
        <f ca="1"/>
        <v>220.52</v>
      </c>
      <c r="AN6" vm="279">
        <f ca="1"/>
        <v>223.29</v>
      </c>
      <c r="AO6" vm="280">
        <f ca="1"/>
        <v>224.92</v>
      </c>
      <c r="AP6" vm="281">
        <f ca="1"/>
        <v>225.06</v>
      </c>
      <c r="AQ6" vm="282">
        <f ca="1"/>
        <v>229.05</v>
      </c>
      <c r="AR6" vm="283">
        <f ca="1"/>
        <v>227.05</v>
      </c>
      <c r="AS6" vm="284">
        <f ca="1"/>
        <v>223.75</v>
      </c>
      <c r="AT6" vm="285">
        <f ca="1"/>
        <v>221.3</v>
      </c>
      <c r="AU6" vm="286">
        <f ca="1"/>
        <v>219.39</v>
      </c>
      <c r="AV6" vm="287">
        <f ca="1"/>
        <v>220.22</v>
      </c>
      <c r="AW6" vm="288">
        <f ca="1"/>
        <v>224.19</v>
      </c>
      <c r="AX6" vm="289">
        <f ca="1"/>
        <v>227.61</v>
      </c>
      <c r="AY6" vm="290">
        <f ca="1"/>
        <v>222.11</v>
      </c>
      <c r="AZ6" vm="291">
        <f ca="1"/>
        <v>222.13</v>
      </c>
      <c r="BA6" vm="292">
        <f ca="1"/>
        <v>218.94</v>
      </c>
      <c r="BB6" vm="293">
        <f ca="1"/>
        <v>218.46</v>
      </c>
      <c r="BC6" vm="294">
        <f ca="1"/>
        <v>217.76</v>
      </c>
      <c r="BD6" vm="295">
        <f ca="1"/>
        <v>223.35</v>
      </c>
      <c r="BE6" vm="296">
        <f ca="1"/>
        <v>220.66</v>
      </c>
      <c r="BF6" vm="297">
        <f ca="1"/>
        <v>225.94</v>
      </c>
      <c r="BG6" vm="298">
        <f ca="1"/>
        <v>230.71</v>
      </c>
      <c r="BH6" vm="299">
        <f ca="1"/>
        <v>235.01</v>
      </c>
      <c r="BI6" vm="300">
        <f ca="1"/>
        <v>235.42</v>
      </c>
      <c r="BJ6" vm="301">
        <f ca="1"/>
        <v>234.85</v>
      </c>
      <c r="BK6" vm="300">
        <f ca="1"/>
        <v>235.42</v>
      </c>
      <c r="BL6" vm="302">
        <f ca="1"/>
        <v>238.15</v>
      </c>
      <c r="BM6" vm="303">
        <f ca="1"/>
        <v>237.07</v>
      </c>
      <c r="BN6" vm="304">
        <f ca="1"/>
        <v>234.64</v>
      </c>
      <c r="BO6" vm="305">
        <f ca="1"/>
        <v>237.68</v>
      </c>
      <c r="BP6" vm="306">
        <f ca="1"/>
        <v>237.42</v>
      </c>
      <c r="BQ6" vm="307">
        <f ca="1"/>
        <v>242.06</v>
      </c>
      <c r="BR6" vm="308">
        <f ca="1"/>
        <v>236.17</v>
      </c>
      <c r="BS6" vm="309">
        <f ca="1"/>
        <v>238.83</v>
      </c>
      <c r="BT6" vm="310">
        <f ca="1"/>
        <v>229.15</v>
      </c>
      <c r="BU6" vm="311">
        <f ca="1"/>
        <v>233.14</v>
      </c>
      <c r="BV6" vm="312">
        <f ca="1"/>
        <v>232.76</v>
      </c>
      <c r="BW6" vm="313">
        <f ca="1"/>
        <v>228.93</v>
      </c>
      <c r="BX6" vm="314">
        <f ca="1"/>
        <v>230.37</v>
      </c>
      <c r="BY6" vm="315">
        <f ca="1"/>
        <v>228.68</v>
      </c>
      <c r="BZ6" vm="316">
        <f ca="1"/>
        <v>226.65</v>
      </c>
      <c r="CA6" vm="317">
        <f ca="1"/>
        <v>226.63</v>
      </c>
      <c r="CB6" vm="318">
        <f ca="1"/>
        <v>222.88</v>
      </c>
      <c r="CC6" vm="319">
        <f ca="1"/>
        <v>216.58</v>
      </c>
      <c r="CD6" vm="320">
        <f ca="1"/>
        <v>212.71</v>
      </c>
      <c r="CE6" vm="321">
        <f ca="1"/>
        <v>212.8</v>
      </c>
      <c r="CF6" vm="322">
        <f ca="1"/>
        <v>214.35</v>
      </c>
      <c r="CG6" vm="323">
        <f ca="1"/>
        <v>208.74</v>
      </c>
      <c r="CH6" vm="324">
        <f ca="1"/>
        <v>212.28</v>
      </c>
      <c r="CI6" vm="325">
        <f ca="1"/>
        <v>205.02</v>
      </c>
      <c r="CJ6" vm="326">
        <f ca="1"/>
        <v>203.8</v>
      </c>
      <c r="CK6" vm="327">
        <f ca="1"/>
        <v>208.36</v>
      </c>
      <c r="CL6" vm="328">
        <f ca="1"/>
        <v>200.7</v>
      </c>
      <c r="CM6" vm="329">
        <f ca="1"/>
        <v>199.25</v>
      </c>
      <c r="CN6" vm="330">
        <f ca="1"/>
        <v>194.54</v>
      </c>
      <c r="CO6" vm="331">
        <f ca="1"/>
        <v>196.59</v>
      </c>
      <c r="CP6" vm="332">
        <f ca="1"/>
        <v>198.89</v>
      </c>
      <c r="CQ6" vm="333">
        <f ca="1"/>
        <v>193.89</v>
      </c>
      <c r="CR6" vm="334">
        <f ca="1"/>
        <v>197.95</v>
      </c>
      <c r="CS6" vm="335">
        <f ca="1"/>
        <v>195.74</v>
      </c>
      <c r="CT6" vm="336">
        <f ca="1"/>
        <v>192.82</v>
      </c>
      <c r="CU6" vm="337">
        <f ca="1"/>
        <v>195.54</v>
      </c>
      <c r="CV6" vm="338">
        <f ca="1"/>
        <v>194.95</v>
      </c>
      <c r="CW6" vm="339">
        <f ca="1"/>
        <v>196.21</v>
      </c>
      <c r="CX6" vm="340">
        <f ca="1"/>
        <v>203.26</v>
      </c>
      <c r="CY6" vm="341">
        <f ca="1"/>
        <v>205.71</v>
      </c>
      <c r="CZ6" vm="342">
        <f ca="1"/>
        <v>201.13</v>
      </c>
      <c r="DA6" vm="343">
        <f ca="1"/>
        <v>201.36</v>
      </c>
      <c r="DB6" vm="344">
        <f ca="1"/>
        <v>192.72</v>
      </c>
      <c r="DC6" vm="345">
        <f ca="1"/>
        <v>190.26</v>
      </c>
      <c r="DD6" vm="346">
        <f ca="1"/>
        <v>192.17</v>
      </c>
      <c r="DE6" vm="347">
        <f ca="1"/>
        <v>196.01</v>
      </c>
      <c r="DF6" vm="348">
        <f ca="1"/>
        <v>178.41</v>
      </c>
      <c r="DG6" vm="349">
        <f ca="1"/>
        <v>171</v>
      </c>
      <c r="DH6" vm="350">
        <f ca="1"/>
        <v>175.26</v>
      </c>
      <c r="DI6" vm="351">
        <f ca="1"/>
        <v>170.66</v>
      </c>
      <c r="DJ6" vm="352">
        <f ca="1"/>
        <v>191.1</v>
      </c>
      <c r="DK6" vm="353">
        <f ca="1"/>
        <v>181.22</v>
      </c>
      <c r="DL6" vm="354">
        <f ca="1"/>
        <v>184.87</v>
      </c>
      <c r="DM6" vm="355">
        <f ca="1"/>
        <v>182.12</v>
      </c>
      <c r="DN6" vm="356">
        <f ca="1"/>
        <v>179.59</v>
      </c>
      <c r="DO6" vm="357">
        <f ca="1"/>
        <v>174.33</v>
      </c>
      <c r="DP6" vm="358">
        <f ca="1"/>
        <v>172.61</v>
      </c>
      <c r="DQ6" vm="359">
        <f ca="1"/>
        <v>167.32</v>
      </c>
      <c r="DR6" vm="360">
        <f ca="1"/>
        <v>173.18</v>
      </c>
      <c r="DS6" vm="361">
        <f ca="1"/>
        <v>180.6</v>
      </c>
      <c r="DT6" vm="362">
        <f ca="1"/>
        <v>186.54</v>
      </c>
      <c r="DU6" vm="363">
        <f ca="1"/>
        <v>188.99</v>
      </c>
      <c r="DV6" vm="364">
        <f ca="1"/>
        <v>187.7</v>
      </c>
      <c r="DW6" vm="365">
        <f ca="1"/>
        <v>187.39</v>
      </c>
      <c r="DX6" vm="366">
        <f ca="1"/>
        <v>184.42</v>
      </c>
      <c r="DY6" vm="367">
        <f ca="1"/>
        <v>190.2</v>
      </c>
      <c r="DZ6" vm="368">
        <f ca="1"/>
        <v>189.98</v>
      </c>
      <c r="EA6" vm="369">
        <f ca="1"/>
        <v>186.35</v>
      </c>
      <c r="EB6" vm="370">
        <f ca="1"/>
        <v>185.01</v>
      </c>
      <c r="EC6" vm="371">
        <f ca="1"/>
        <v>188.71</v>
      </c>
      <c r="ED6" vm="372">
        <f ca="1"/>
        <v>192.08</v>
      </c>
      <c r="EE6" vm="373">
        <f ca="1"/>
        <v>193.06</v>
      </c>
      <c r="EF6" vm="374">
        <f ca="1"/>
        <v>208.64</v>
      </c>
      <c r="EG6" vm="375">
        <f ca="1"/>
        <v>211.37</v>
      </c>
      <c r="EH6" vm="376">
        <f ca="1"/>
        <v>210.25</v>
      </c>
      <c r="EI6" vm="377">
        <f ca="1"/>
        <v>205.17</v>
      </c>
      <c r="EJ6" vm="378">
        <f ca="1"/>
        <v>205.59</v>
      </c>
      <c r="EK6" vm="379">
        <f ca="1"/>
        <v>206.16</v>
      </c>
      <c r="EL6" vm="380">
        <f ca="1"/>
        <v>204.07</v>
      </c>
      <c r="EM6" vm="381">
        <f ca="1"/>
        <v>201.12</v>
      </c>
      <c r="EN6" vm="382">
        <f ca="1"/>
        <v>203.1</v>
      </c>
      <c r="EO6" vm="383">
        <f ca="1"/>
        <v>200.99</v>
      </c>
      <c r="EP6" vm="384">
        <f ca="1"/>
        <v>206.02</v>
      </c>
      <c r="EQ6" vm="385">
        <f ca="1"/>
        <v>204.72</v>
      </c>
      <c r="ER6" vm="386">
        <f ca="1"/>
        <v>205.7</v>
      </c>
      <c r="ES6" vm="387">
        <f ca="1"/>
        <v>205.01</v>
      </c>
      <c r="ET6" vm="388">
        <f ca="1"/>
        <v>206.65</v>
      </c>
      <c r="EU6" vm="341">
        <f ca="1"/>
        <v>205.71</v>
      </c>
      <c r="EV6" vm="389">
        <f ca="1"/>
        <v>207.23</v>
      </c>
      <c r="EW6" vm="390">
        <f ca="1"/>
        <v>207.91</v>
      </c>
      <c r="EX6" vm="391">
        <f ca="1"/>
        <v>213.57</v>
      </c>
      <c r="EY6" vm="392">
        <f ca="1"/>
        <v>216.98</v>
      </c>
      <c r="EZ6" vm="393">
        <f ca="1"/>
        <v>217.61</v>
      </c>
      <c r="FA6" vm="394">
        <f ca="1"/>
        <v>213.2</v>
      </c>
      <c r="FB6" vm="395">
        <f ca="1"/>
        <v>213.24</v>
      </c>
      <c r="FC6" vm="396">
        <f ca="1"/>
        <v>212.1</v>
      </c>
      <c r="FD6" vm="397">
        <f ca="1"/>
        <v>216.1</v>
      </c>
      <c r="FE6" vm="398">
        <f ca="1"/>
        <v>214.82</v>
      </c>
      <c r="FF6" vm="399">
        <f ca="1"/>
        <v>212.52</v>
      </c>
      <c r="FG6" vm="400">
        <f ca="1"/>
        <v>209.69</v>
      </c>
      <c r="FH6" vm="401">
        <f ca="1"/>
        <v>208.47</v>
      </c>
      <c r="FI6" vm="402">
        <f ca="1"/>
        <v>212.77</v>
      </c>
      <c r="FJ6" vm="403">
        <f ca="1"/>
        <v>211.99</v>
      </c>
      <c r="FK6" vm="404">
        <f ca="1"/>
        <v>217.12</v>
      </c>
      <c r="FL6" vm="405">
        <f ca="1"/>
        <v>223.3</v>
      </c>
      <c r="FM6" vm="286">
        <f ca="1"/>
        <v>219.39</v>
      </c>
      <c r="FN6" vm="406">
        <f ca="1"/>
        <v>220.46</v>
      </c>
      <c r="FO6" vm="407">
        <f ca="1"/>
        <v>219.92</v>
      </c>
      <c r="FP6" vm="408">
        <f ca="1"/>
        <v>223.41</v>
      </c>
      <c r="FQ6" vm="409">
        <f ca="1"/>
        <v>223.47</v>
      </c>
      <c r="FR6" vm="410">
        <f ca="1"/>
        <v>219.36</v>
      </c>
      <c r="FS6" vm="411">
        <f ca="1"/>
        <v>222.54</v>
      </c>
      <c r="FT6" vm="412">
        <f ca="1"/>
        <v>222.26</v>
      </c>
      <c r="FU6" vm="413">
        <f ca="1"/>
        <v>225.02</v>
      </c>
      <c r="FV6" vm="414">
        <f ca="1"/>
        <v>225.69</v>
      </c>
      <c r="FW6" vm="415">
        <f ca="1"/>
        <v>226.35</v>
      </c>
      <c r="FX6" vm="416">
        <f ca="1"/>
        <v>223.19</v>
      </c>
      <c r="FY6" vm="417">
        <f ca="1"/>
        <v>223.88</v>
      </c>
      <c r="FZ6" vm="418">
        <f ca="1"/>
        <v>226.13</v>
      </c>
      <c r="GA6" vm="419">
        <f ca="1"/>
        <v>229.3</v>
      </c>
      <c r="GB6" vm="420">
        <f ca="1"/>
        <v>227.47</v>
      </c>
      <c r="GC6" vm="421">
        <f ca="1"/>
        <v>228.29</v>
      </c>
      <c r="GD6" vm="422">
        <f ca="1"/>
        <v>232.23</v>
      </c>
      <c r="GE6" vm="423">
        <f ca="1"/>
        <v>231.44</v>
      </c>
      <c r="GF6" vm="424">
        <f ca="1"/>
        <v>232.79</v>
      </c>
      <c r="GG6" vm="425">
        <f ca="1"/>
        <v>231.01</v>
      </c>
      <c r="GH6" vm="426">
        <f ca="1"/>
        <v>230.19</v>
      </c>
      <c r="GI6" vm="427">
        <f ca="1"/>
        <v>234.11</v>
      </c>
      <c r="GJ6" vm="428">
        <f ca="1"/>
        <v>214.75</v>
      </c>
      <c r="GK6" vm="429">
        <f ca="1"/>
        <v>211.65</v>
      </c>
      <c r="GL6" vm="430">
        <f ca="1"/>
        <v>213.75</v>
      </c>
      <c r="GM6" vm="431">
        <f ca="1"/>
        <v>222.31</v>
      </c>
      <c r="GN6" vm="432">
        <f ca="1"/>
        <v>223.13</v>
      </c>
      <c r="GO6" vm="433">
        <f ca="1"/>
        <v>222.69</v>
      </c>
      <c r="GP6" vm="285">
        <f ca="1"/>
        <v>221.3</v>
      </c>
      <c r="GQ6" vm="434">
        <f ca="1"/>
        <v>221.47</v>
      </c>
      <c r="GR6" vm="435">
        <f ca="1"/>
        <v>224.56</v>
      </c>
      <c r="GS6" vm="436">
        <f ca="1"/>
        <v>230.98</v>
      </c>
      <c r="GT6" vm="437">
        <f ca="1"/>
        <v>231.03</v>
      </c>
      <c r="GU6" vm="438">
        <f ca="1"/>
        <v>231.49</v>
      </c>
      <c r="GV6" vm="439">
        <f ca="1"/>
        <v>228.01</v>
      </c>
      <c r="GW6" vm="440">
        <f ca="1"/>
        <v>223.81</v>
      </c>
      <c r="GX6" vm="441">
        <f ca="1"/>
        <v>221.95</v>
      </c>
      <c r="GY6" vm="442">
        <f ca="1"/>
        <v>228.84</v>
      </c>
      <c r="GZ6" vm="443">
        <f ca="1"/>
        <v>227.94</v>
      </c>
      <c r="HA6" vm="444">
        <f ca="1"/>
        <v>228.71</v>
      </c>
      <c r="HB6" vm="445">
        <f ca="1"/>
        <v>229.12</v>
      </c>
      <c r="HC6" vm="446">
        <f ca="1"/>
        <v>231.6</v>
      </c>
      <c r="HD6" vm="447">
        <f ca="1"/>
        <v>229</v>
      </c>
      <c r="HE6" vm="448">
        <f ca="1"/>
        <v>225.34</v>
      </c>
      <c r="HF6" vm="449">
        <f ca="1"/>
        <v>225.99</v>
      </c>
      <c r="HG6" vm="450">
        <f ca="1"/>
        <v>235.68</v>
      </c>
      <c r="HH6" vm="451">
        <f ca="1"/>
        <v>232.33</v>
      </c>
      <c r="HI6" vm="452">
        <f ca="1"/>
        <v>235.84</v>
      </c>
      <c r="HJ6" vm="453">
        <f ca="1"/>
        <v>238.24</v>
      </c>
      <c r="HK6" vm="454">
        <f ca="1"/>
        <v>230.33</v>
      </c>
      <c r="HL6" vm="455">
        <f ca="1"/>
        <v>229.95</v>
      </c>
      <c r="HM6" vm="456">
        <f ca="1"/>
        <v>228.15</v>
      </c>
      <c r="HN6" vm="457">
        <f ca="1"/>
        <v>231.43</v>
      </c>
      <c r="HO6" vm="458">
        <f ca="1"/>
        <v>234.05</v>
      </c>
      <c r="HP6" vm="459">
        <f ca="1"/>
        <v>231.62</v>
      </c>
      <c r="HQ6" vm="460">
        <f ca="1"/>
        <v>231.23</v>
      </c>
      <c r="HR6" vm="461">
        <f ca="1"/>
        <v>231.48</v>
      </c>
      <c r="HS6" vm="462">
        <f ca="1"/>
        <v>227.63</v>
      </c>
      <c r="HT6" vm="463">
        <f ca="1"/>
        <v>220.71</v>
      </c>
      <c r="HU6" vm="464">
        <f ca="1"/>
        <v>220.21</v>
      </c>
      <c r="HV6" vm="465">
        <f ca="1"/>
        <v>218.15</v>
      </c>
      <c r="HW6" vm="466">
        <f ca="1"/>
        <v>219.78</v>
      </c>
      <c r="HX6" vm="467">
        <f ca="1"/>
        <v>222.17</v>
      </c>
      <c r="HY6" vm="468">
        <f ca="1"/>
        <v>219.57</v>
      </c>
      <c r="HZ6" vm="469">
        <f ca="1"/>
        <v>220.63</v>
      </c>
      <c r="IA6" vm="470">
        <f ca="1"/>
        <v>222.41</v>
      </c>
      <c r="IB6" vm="471">
        <f ca="1"/>
        <v>219.51</v>
      </c>
      <c r="IC6" vm="472">
        <f ca="1"/>
        <v>220.9</v>
      </c>
      <c r="ID6" vm="473">
        <f ca="1"/>
        <v>221.78</v>
      </c>
      <c r="IE6" vm="474">
        <f ca="1"/>
        <v>225.22</v>
      </c>
      <c r="IF6" vm="475">
        <f ca="1"/>
        <v>227.74</v>
      </c>
      <c r="IG6" vm="476">
        <f ca="1"/>
        <v>216.37</v>
      </c>
      <c r="IH6" vm="477">
        <f ca="1"/>
        <v>220.07</v>
      </c>
      <c r="II6" vm="478">
        <f ca="1"/>
        <v>216.39</v>
      </c>
      <c r="IJ6" vm="479">
        <f ca="1"/>
        <v>215.57</v>
      </c>
      <c r="IK6" vm="480">
        <f ca="1"/>
        <v>214.47</v>
      </c>
      <c r="IL6" vm="481">
        <f ca="1"/>
        <v>213.04</v>
      </c>
      <c r="IM6" vm="482">
        <f ca="1"/>
        <v>216.48</v>
      </c>
      <c r="IN6" vm="483">
        <f ca="1"/>
        <v>222.03</v>
      </c>
      <c r="IO6" vm="484">
        <f ca="1"/>
        <v>217.95</v>
      </c>
      <c r="IP6" vm="485">
        <f ca="1"/>
        <v>221.09</v>
      </c>
      <c r="IQ6" vm="486">
        <f ca="1"/>
        <v>224.21</v>
      </c>
      <c r="IR6" vm="487">
        <f ca="1"/>
        <v>226.97</v>
      </c>
      <c r="IS6" vm="488">
        <f ca="1"/>
        <v>229.25</v>
      </c>
      <c r="IT6" vm="489">
        <f ca="1"/>
        <v>230.3</v>
      </c>
      <c r="IU6" vm="490">
        <f ca="1"/>
        <v>222.86</v>
      </c>
      <c r="IV6" vm="491">
        <f ca="1"/>
        <v>244.22</v>
      </c>
      <c r="IW6" vm="492">
        <f ca="1"/>
        <v>254</v>
      </c>
      <c r="IX6" vm="493">
        <f ca="1"/>
        <v>249.32</v>
      </c>
      <c r="IY6" vm="494">
        <f ca="1"/>
        <v>250.2</v>
      </c>
      <c r="IZ6" vm="495">
        <f ca="1"/>
        <v>243.04</v>
      </c>
      <c r="JA6" vm="496">
        <f ca="1"/>
        <v>244.41</v>
      </c>
    </row>
    <row r="7" spans="1:266" ht="20" customHeight="1" x14ac:dyDescent="0.2">
      <c r="B7" t="e" vm="497">
        <v>#VALUE!</v>
      </c>
      <c r="C7" t="str">
        <f ca="1"/>
        <v>Banking Services</v>
      </c>
      <c r="D7" t="str">
        <f ca="1"/>
        <v>EUR</v>
      </c>
      <c r="E7">
        <v>1</v>
      </c>
      <c r="F7">
        <f ca="1"/>
        <v>67.5</v>
      </c>
      <c r="G7">
        <f ca="1"/>
        <v>67.5</v>
      </c>
      <c r="H7" s="11" cm="1">
        <f t="array" aca="1" ref="H7" ca="1">(F7-IF(C7="USD",_FV( B7,"Clôture précédente",TRUE)*$K$4,_FV( B7,"Clôture précédente",TRUE)))*E7</f>
        <v>2.0100000000000051</v>
      </c>
      <c r="I7" s="8" cm="1">
        <f t="array" aca="1" ref="I7" ca="1">(F7-_FV(B7,"Clôture précédente",TRUE))/_FV(B7,"Clôture précédente",TRUE)</f>
        <v>3.0691708657810433E-2</v>
      </c>
      <c r="J7" s="12">
        <f ca="1"/>
        <v>0.34000000000000341</v>
      </c>
      <c r="M7" cm="1" vm="498">
        <f t="array" aca="1" ref="M7:JF7" ca="1">TRANSPOSE(_xlfn.STOCKHISTORY(B7,TODAY()-365,TODAY(),0,0,1))</f>
        <v>60.94</v>
      </c>
      <c r="N7" vm="499">
        <f ca="1"/>
        <v>59.38</v>
      </c>
      <c r="O7" vm="500">
        <f ca="1"/>
        <v>59.12</v>
      </c>
      <c r="P7" vm="501">
        <f ca="1"/>
        <v>59.47</v>
      </c>
      <c r="Q7" vm="502">
        <f ca="1"/>
        <v>60.11</v>
      </c>
      <c r="R7" vm="503">
        <f ca="1"/>
        <v>60.42</v>
      </c>
      <c r="S7" vm="504">
        <f ca="1"/>
        <v>59.31</v>
      </c>
      <c r="T7" vm="505">
        <f ca="1"/>
        <v>58.49</v>
      </c>
      <c r="U7" vm="506">
        <f ca="1"/>
        <v>58.22</v>
      </c>
      <c r="V7" vm="507">
        <f ca="1"/>
        <v>56.92</v>
      </c>
      <c r="W7" vm="508">
        <f ca="1"/>
        <v>56.98</v>
      </c>
      <c r="X7" vm="509">
        <f ca="1"/>
        <v>56.3</v>
      </c>
      <c r="Y7" vm="510">
        <f ca="1"/>
        <v>55.63</v>
      </c>
      <c r="Z7" vm="511">
        <f ca="1"/>
        <v>56.14</v>
      </c>
      <c r="AA7" vm="512">
        <f ca="1"/>
        <v>56.64</v>
      </c>
      <c r="AB7" vm="513">
        <f ca="1"/>
        <v>55.94</v>
      </c>
      <c r="AC7" vm="514">
        <f ca="1"/>
        <v>55.78</v>
      </c>
      <c r="AD7" vm="515">
        <f ca="1"/>
        <v>56.5</v>
      </c>
      <c r="AE7" vm="516">
        <f ca="1"/>
        <v>57.97</v>
      </c>
      <c r="AF7" vm="517">
        <f ca="1"/>
        <v>58.57</v>
      </c>
      <c r="AG7" vm="518">
        <f ca="1"/>
        <v>60.06</v>
      </c>
      <c r="AH7" vm="519">
        <f ca="1"/>
        <v>59.7</v>
      </c>
      <c r="AI7" vm="520">
        <f ca="1"/>
        <v>59.59</v>
      </c>
      <c r="AJ7" vm="521">
        <f ca="1"/>
        <v>58.92</v>
      </c>
      <c r="AK7" vm="522">
        <f ca="1"/>
        <v>58.94</v>
      </c>
      <c r="AL7" vm="523">
        <f ca="1"/>
        <v>58.82</v>
      </c>
      <c r="AM7" vm="524">
        <f ca="1"/>
        <v>58.25</v>
      </c>
      <c r="AN7" vm="525">
        <f ca="1"/>
        <v>58.63</v>
      </c>
      <c r="AO7" vm="526">
        <f ca="1"/>
        <v>57.81</v>
      </c>
      <c r="AP7" vm="527">
        <f ca="1"/>
        <v>57.48</v>
      </c>
      <c r="AQ7" vm="528">
        <f ca="1"/>
        <v>57.44</v>
      </c>
      <c r="AR7" vm="529">
        <f ca="1"/>
        <v>57.54</v>
      </c>
      <c r="AS7" vm="530">
        <f ca="1"/>
        <v>58.54</v>
      </c>
      <c r="AT7" vm="531">
        <f ca="1"/>
        <v>58.73</v>
      </c>
      <c r="AU7" vm="532">
        <f ca="1"/>
        <v>59.22</v>
      </c>
      <c r="AV7" vm="533">
        <f ca="1"/>
        <v>59.25</v>
      </c>
      <c r="AW7" vm="505">
        <f ca="1"/>
        <v>58.49</v>
      </c>
      <c r="AX7" vm="534">
        <f ca="1"/>
        <v>60.03</v>
      </c>
      <c r="AY7" vm="535">
        <f ca="1"/>
        <v>60.4</v>
      </c>
      <c r="AZ7" vm="536">
        <f ca="1"/>
        <v>60.14</v>
      </c>
      <c r="BA7" vm="537">
        <f ca="1"/>
        <v>59.95</v>
      </c>
      <c r="BB7" vm="538">
        <f ca="1"/>
        <v>59.35</v>
      </c>
      <c r="BC7" vm="539">
        <f ca="1"/>
        <v>59.64</v>
      </c>
      <c r="BD7" vm="540">
        <f ca="1"/>
        <v>60.81</v>
      </c>
      <c r="BE7" vm="541">
        <f ca="1"/>
        <v>62.08</v>
      </c>
      <c r="BF7" vm="542">
        <f ca="1"/>
        <v>62.21</v>
      </c>
      <c r="BG7" vm="543">
        <f ca="1"/>
        <v>62.24</v>
      </c>
      <c r="BH7" vm="544">
        <f ca="1"/>
        <v>62.95</v>
      </c>
      <c r="BI7" vm="545">
        <f ca="1"/>
        <v>63.11</v>
      </c>
      <c r="BJ7" vm="546">
        <f ca="1"/>
        <v>62.31</v>
      </c>
      <c r="BK7" vm="547">
        <f ca="1"/>
        <v>63.38</v>
      </c>
      <c r="BL7" vm="548">
        <f ca="1"/>
        <v>63.61</v>
      </c>
      <c r="BM7" vm="549">
        <f ca="1"/>
        <v>64.23</v>
      </c>
      <c r="BN7" vm="550">
        <f ca="1"/>
        <v>64.58</v>
      </c>
      <c r="BO7" vm="551">
        <f ca="1"/>
        <v>64.67</v>
      </c>
      <c r="BP7" vm="552">
        <f ca="1"/>
        <v>65.66</v>
      </c>
      <c r="BQ7" vm="553">
        <f ca="1"/>
        <v>65.72</v>
      </c>
      <c r="BR7" vm="554">
        <f ca="1"/>
        <v>64.319999999999993</v>
      </c>
      <c r="BS7" vm="555">
        <f ca="1"/>
        <v>67.05</v>
      </c>
      <c r="BT7" vm="556">
        <f ca="1"/>
        <v>66.400000000000006</v>
      </c>
      <c r="BU7" vm="557">
        <f ca="1"/>
        <v>68.260000000000005</v>
      </c>
      <c r="BV7" vm="558">
        <f ca="1"/>
        <v>69.45</v>
      </c>
      <c r="BW7" vm="559">
        <f ca="1"/>
        <v>69.489999999999995</v>
      </c>
      <c r="BX7" vm="560">
        <f ca="1"/>
        <v>70.13</v>
      </c>
      <c r="BY7" vm="561">
        <f ca="1"/>
        <v>70.94</v>
      </c>
      <c r="BZ7" vm="562">
        <f ca="1"/>
        <v>70.099999999999994</v>
      </c>
      <c r="CA7" vm="563">
        <f ca="1"/>
        <v>69.95</v>
      </c>
      <c r="CB7" vm="564">
        <f ca="1"/>
        <v>69.83</v>
      </c>
      <c r="CC7" vm="565">
        <f ca="1"/>
        <v>71.09</v>
      </c>
      <c r="CD7" vm="566">
        <f ca="1"/>
        <v>70.3</v>
      </c>
      <c r="CE7" vm="567">
        <f ca="1"/>
        <v>70.87</v>
      </c>
      <c r="CF7" vm="568">
        <f ca="1"/>
        <v>71.12</v>
      </c>
      <c r="CG7" vm="569">
        <f ca="1"/>
        <v>71.08</v>
      </c>
      <c r="CH7" vm="570">
        <f ca="1"/>
        <v>72.11</v>
      </c>
      <c r="CI7" vm="571">
        <f ca="1"/>
        <v>72.72</v>
      </c>
      <c r="CJ7" vm="572">
        <f ca="1"/>
        <v>72.61</v>
      </c>
      <c r="CK7" vm="573">
        <f ca="1"/>
        <v>72.86</v>
      </c>
      <c r="CL7" vm="574">
        <f ca="1"/>
        <v>74.02</v>
      </c>
      <c r="CM7" vm="575">
        <f ca="1"/>
        <v>71.69</v>
      </c>
      <c r="CN7" vm="576">
        <f ca="1"/>
        <v>74.66</v>
      </c>
      <c r="CO7" vm="577">
        <f ca="1"/>
        <v>77.17</v>
      </c>
      <c r="CP7" vm="578">
        <f ca="1"/>
        <v>76.569999999999993</v>
      </c>
      <c r="CQ7" vm="579">
        <f ca="1"/>
        <v>74.44</v>
      </c>
      <c r="CR7" vm="580">
        <f ca="1"/>
        <v>72.959999999999994</v>
      </c>
      <c r="CS7" vm="581">
        <f ca="1"/>
        <v>73.69</v>
      </c>
      <c r="CT7" vm="582">
        <f ca="1"/>
        <v>73.55</v>
      </c>
      <c r="CU7" vm="583">
        <f ca="1"/>
        <v>75.72</v>
      </c>
      <c r="CV7" vm="584">
        <f ca="1"/>
        <v>77.91</v>
      </c>
      <c r="CW7" vm="585">
        <f ca="1"/>
        <v>80.209999999999994</v>
      </c>
      <c r="CX7" vm="586">
        <f ca="1"/>
        <v>80.86</v>
      </c>
      <c r="CY7" vm="587">
        <f ca="1"/>
        <v>79.05</v>
      </c>
      <c r="CZ7" vm="588">
        <f ca="1"/>
        <v>79.72</v>
      </c>
      <c r="DA7" vm="589">
        <f ca="1"/>
        <v>79.430000000000007</v>
      </c>
      <c r="DB7" vm="590">
        <f ca="1"/>
        <v>81.58</v>
      </c>
      <c r="DC7" vm="591">
        <f ca="1"/>
        <v>80.400000000000006</v>
      </c>
      <c r="DD7" vm="592">
        <f ca="1"/>
        <v>79.67</v>
      </c>
      <c r="DE7" vm="593">
        <f ca="1"/>
        <v>78.55</v>
      </c>
      <c r="DF7" vm="594">
        <f ca="1"/>
        <v>76.91</v>
      </c>
      <c r="DG7" vm="595">
        <f ca="1"/>
        <v>78.489999999999995</v>
      </c>
      <c r="DH7" vm="596">
        <f ca="1"/>
        <v>77.75</v>
      </c>
      <c r="DI7" vm="597">
        <f ca="1"/>
        <v>73.7</v>
      </c>
      <c r="DJ7" vm="598">
        <f ca="1"/>
        <v>68.67</v>
      </c>
      <c r="DK7" vm="599">
        <f ca="1"/>
        <v>66.099999999999994</v>
      </c>
      <c r="DL7" vm="600">
        <f ca="1"/>
        <v>66.19</v>
      </c>
      <c r="DM7" vm="601">
        <f ca="1"/>
        <v>63.78</v>
      </c>
      <c r="DN7" vm="602">
        <f ca="1"/>
        <v>67.23</v>
      </c>
      <c r="DO7" vm="603">
        <f ca="1"/>
        <v>65.61</v>
      </c>
      <c r="DP7" vm="604">
        <f ca="1"/>
        <v>68.5</v>
      </c>
      <c r="DQ7" vm="605">
        <f ca="1"/>
        <v>70.58</v>
      </c>
      <c r="DR7" vm="606">
        <f ca="1"/>
        <v>71.58</v>
      </c>
      <c r="DS7" vm="607">
        <f ca="1"/>
        <v>70.739999999999995</v>
      </c>
      <c r="DT7" vm="608">
        <f ca="1"/>
        <v>71.62</v>
      </c>
      <c r="DU7" vm="609">
        <f ca="1"/>
        <v>73.819999999999993</v>
      </c>
      <c r="DV7" vm="610">
        <f ca="1"/>
        <v>72.23</v>
      </c>
      <c r="DW7" vm="611">
        <f ca="1"/>
        <v>72.81</v>
      </c>
      <c r="DX7" vm="612">
        <f ca="1"/>
        <v>74.099999999999994</v>
      </c>
      <c r="DY7" vm="613">
        <f ca="1"/>
        <v>74.8</v>
      </c>
      <c r="DZ7" vm="614">
        <f ca="1"/>
        <v>74.290000000000006</v>
      </c>
      <c r="EA7" vm="615">
        <f ca="1"/>
        <v>76.36</v>
      </c>
      <c r="EB7" vm="615">
        <f ca="1"/>
        <v>76.36</v>
      </c>
      <c r="EC7" vm="616">
        <f ca="1"/>
        <v>76</v>
      </c>
      <c r="ED7" vm="617">
        <f ca="1"/>
        <v>76.02</v>
      </c>
      <c r="EE7" vm="618">
        <f ca="1"/>
        <v>77</v>
      </c>
      <c r="EF7" vm="619">
        <f ca="1"/>
        <v>77.5</v>
      </c>
      <c r="EG7" vm="587">
        <f ca="1"/>
        <v>79.05</v>
      </c>
      <c r="EH7" vm="620">
        <f ca="1"/>
        <v>79.08</v>
      </c>
      <c r="EI7" vm="621">
        <f ca="1"/>
        <v>79.92</v>
      </c>
      <c r="EJ7" vm="622">
        <f ca="1"/>
        <v>79.599999999999994</v>
      </c>
      <c r="EK7" vm="623">
        <f ca="1"/>
        <v>79.39</v>
      </c>
      <c r="EL7" vm="624">
        <f ca="1"/>
        <v>77.150000000000006</v>
      </c>
      <c r="EM7" vm="625">
        <f ca="1"/>
        <v>77.64</v>
      </c>
      <c r="EN7" vm="626">
        <f ca="1"/>
        <v>77.94</v>
      </c>
      <c r="EO7" vm="619">
        <f ca="1"/>
        <v>77.5</v>
      </c>
      <c r="EP7" vm="627">
        <f ca="1"/>
        <v>75.84</v>
      </c>
      <c r="EQ7" vm="628">
        <f ca="1"/>
        <v>77.22</v>
      </c>
      <c r="ER7" vm="629">
        <f ca="1"/>
        <v>77.42</v>
      </c>
      <c r="ES7" vm="630">
        <f ca="1"/>
        <v>76.58</v>
      </c>
      <c r="ET7" vm="631">
        <f ca="1"/>
        <v>76.83</v>
      </c>
      <c r="EU7" vm="632">
        <f ca="1"/>
        <v>77.14</v>
      </c>
      <c r="EV7" vm="633">
        <f ca="1"/>
        <v>76.709999999999994</v>
      </c>
      <c r="EW7" vm="628">
        <f ca="1"/>
        <v>77.22</v>
      </c>
      <c r="EX7" vm="634">
        <f ca="1"/>
        <v>76.64</v>
      </c>
      <c r="EY7" vm="619">
        <f ca="1"/>
        <v>77.5</v>
      </c>
      <c r="EZ7" vm="635">
        <f ca="1"/>
        <v>78.14</v>
      </c>
      <c r="FA7" vm="595">
        <f ca="1"/>
        <v>78.489999999999995</v>
      </c>
      <c r="FB7" vm="636">
        <f ca="1"/>
        <v>76.290000000000006</v>
      </c>
      <c r="FC7" vm="637">
        <f ca="1"/>
        <v>76.22</v>
      </c>
      <c r="FD7" vm="638">
        <f ca="1"/>
        <v>76.48</v>
      </c>
      <c r="FE7" vm="639">
        <f ca="1"/>
        <v>75.28</v>
      </c>
      <c r="FF7" vm="619">
        <f ca="1"/>
        <v>77.5</v>
      </c>
      <c r="FG7" vm="640">
        <f ca="1"/>
        <v>75.97</v>
      </c>
      <c r="FH7" vm="578">
        <f ca="1"/>
        <v>76.569999999999993</v>
      </c>
      <c r="FI7" vm="641">
        <f ca="1"/>
        <v>74.64</v>
      </c>
      <c r="FJ7" vm="642">
        <f ca="1"/>
        <v>74.3</v>
      </c>
      <c r="FK7" vm="643">
        <f ca="1"/>
        <v>73.08</v>
      </c>
      <c r="FL7" vm="644">
        <f ca="1"/>
        <v>75.38</v>
      </c>
      <c r="FM7" vm="645">
        <f ca="1"/>
        <v>75.209999999999994</v>
      </c>
      <c r="FN7" vm="646">
        <f ca="1"/>
        <v>75.27</v>
      </c>
      <c r="FO7" vm="647">
        <f ca="1"/>
        <v>76.900000000000006</v>
      </c>
      <c r="FP7" vm="648">
        <f ca="1"/>
        <v>76.319999999999993</v>
      </c>
      <c r="FQ7" vm="649">
        <f ca="1"/>
        <v>75.2</v>
      </c>
      <c r="FR7" vm="650">
        <f ca="1"/>
        <v>76.63</v>
      </c>
      <c r="FS7" vm="630">
        <f ca="1"/>
        <v>76.58</v>
      </c>
      <c r="FT7" vm="651">
        <f ca="1"/>
        <v>74.88</v>
      </c>
      <c r="FU7" vm="652">
        <f ca="1"/>
        <v>75.94</v>
      </c>
      <c r="FV7" vm="653">
        <f ca="1"/>
        <v>76.41</v>
      </c>
      <c r="FW7" vm="654">
        <f ca="1"/>
        <v>78.87</v>
      </c>
      <c r="FX7" vm="584">
        <f ca="1"/>
        <v>77.91</v>
      </c>
      <c r="FY7" vm="655">
        <f ca="1"/>
        <v>76.599999999999994</v>
      </c>
      <c r="FZ7" vm="656">
        <f ca="1"/>
        <v>76.680000000000007</v>
      </c>
      <c r="GA7" vm="657">
        <f ca="1"/>
        <v>76.23</v>
      </c>
      <c r="GB7" vm="658">
        <f ca="1"/>
        <v>76.08</v>
      </c>
      <c r="GC7" vm="624">
        <f ca="1"/>
        <v>77.150000000000006</v>
      </c>
      <c r="GD7" vm="659">
        <f ca="1"/>
        <v>77.84</v>
      </c>
      <c r="GE7" vm="660">
        <f ca="1"/>
        <v>77.739999999999995</v>
      </c>
      <c r="GF7" vm="661">
        <f ca="1"/>
        <v>77.08</v>
      </c>
      <c r="GG7" vm="662">
        <f ca="1"/>
        <v>78.48</v>
      </c>
      <c r="GH7" vm="663">
        <f ca="1"/>
        <v>78.790000000000006</v>
      </c>
      <c r="GI7" vm="654">
        <f ca="1"/>
        <v>78.87</v>
      </c>
      <c r="GJ7" vm="664">
        <f ca="1"/>
        <v>77.38</v>
      </c>
      <c r="GK7" vm="662">
        <f ca="1"/>
        <v>78.48</v>
      </c>
      <c r="GL7" vm="665">
        <f ca="1"/>
        <v>79.069999999999993</v>
      </c>
      <c r="GM7" vm="666">
        <f ca="1"/>
        <v>80.06</v>
      </c>
      <c r="GN7" vm="667">
        <f ca="1"/>
        <v>76.53</v>
      </c>
      <c r="GO7" vm="668">
        <f ca="1"/>
        <v>78.5</v>
      </c>
      <c r="GP7" vm="669">
        <f ca="1"/>
        <v>78.38</v>
      </c>
      <c r="GQ7" vm="670">
        <f ca="1"/>
        <v>79.3</v>
      </c>
      <c r="GR7" vm="671">
        <f ca="1"/>
        <v>79.5</v>
      </c>
      <c r="GS7" vm="672">
        <f ca="1"/>
        <v>81.5</v>
      </c>
      <c r="GT7" vm="673">
        <f ca="1"/>
        <v>81.55</v>
      </c>
      <c r="GU7" vm="674">
        <f ca="1"/>
        <v>81.75</v>
      </c>
      <c r="GV7" vm="675">
        <f ca="1"/>
        <v>82.94</v>
      </c>
      <c r="GW7" vm="676">
        <f ca="1"/>
        <v>83.94</v>
      </c>
      <c r="GX7" vm="677">
        <f ca="1"/>
        <v>83.7</v>
      </c>
      <c r="GY7" vm="678">
        <f ca="1"/>
        <v>82.29</v>
      </c>
      <c r="GZ7" vm="679">
        <f ca="1"/>
        <v>82.86</v>
      </c>
      <c r="HA7" vm="680">
        <f ca="1"/>
        <v>83.31</v>
      </c>
      <c r="HB7" vm="681">
        <f ca="1"/>
        <v>82.72</v>
      </c>
      <c r="HC7" vm="682">
        <f ca="1"/>
        <v>83.38</v>
      </c>
      <c r="HD7" vm="683">
        <f ca="1"/>
        <v>80.430000000000007</v>
      </c>
      <c r="HE7" vm="684">
        <f ca="1"/>
        <v>77.03</v>
      </c>
      <c r="HF7" vm="667">
        <f ca="1"/>
        <v>76.53</v>
      </c>
      <c r="HG7" vm="647">
        <f ca="1"/>
        <v>76.900000000000006</v>
      </c>
      <c r="HH7" vm="631">
        <f ca="1"/>
        <v>76.83</v>
      </c>
      <c r="HI7" vm="685">
        <f ca="1"/>
        <v>77.05</v>
      </c>
      <c r="HJ7" vm="652">
        <f ca="1"/>
        <v>75.94</v>
      </c>
      <c r="HK7" vm="686">
        <f ca="1"/>
        <v>76.19</v>
      </c>
      <c r="HL7" vm="687">
        <f ca="1"/>
        <v>77.56</v>
      </c>
      <c r="HM7" vm="688">
        <f ca="1"/>
        <v>76.52</v>
      </c>
      <c r="HN7" vm="689">
        <f ca="1"/>
        <v>76.7</v>
      </c>
      <c r="HO7" vm="690">
        <f ca="1"/>
        <v>77.87</v>
      </c>
      <c r="HP7" vm="691">
        <f ca="1"/>
        <v>78.16</v>
      </c>
      <c r="HQ7" vm="692">
        <f ca="1"/>
        <v>79.41</v>
      </c>
      <c r="HR7" vm="670">
        <f ca="1"/>
        <v>79.3</v>
      </c>
      <c r="HS7" vm="693">
        <f ca="1"/>
        <v>80.33</v>
      </c>
      <c r="HT7" vm="694">
        <f ca="1"/>
        <v>79.17</v>
      </c>
      <c r="HU7" vm="695">
        <f ca="1"/>
        <v>77.67</v>
      </c>
      <c r="HV7" vm="696">
        <f ca="1"/>
        <v>78.39</v>
      </c>
      <c r="HW7" vm="622">
        <f ca="1"/>
        <v>79.599999999999994</v>
      </c>
      <c r="HX7" vm="697">
        <f ca="1"/>
        <v>78.680000000000007</v>
      </c>
      <c r="HY7" vm="698">
        <f ca="1"/>
        <v>78.930000000000007</v>
      </c>
      <c r="HZ7" vm="699">
        <f ca="1"/>
        <v>78.22</v>
      </c>
      <c r="IA7" vm="700">
        <f ca="1"/>
        <v>78.430000000000007</v>
      </c>
      <c r="IB7" vm="701">
        <f ca="1"/>
        <v>77.540000000000006</v>
      </c>
      <c r="IC7" vm="702">
        <f ca="1"/>
        <v>77.45</v>
      </c>
      <c r="ID7" vm="703">
        <f ca="1"/>
        <v>77.33</v>
      </c>
      <c r="IE7" vm="704">
        <f ca="1"/>
        <v>78.34</v>
      </c>
      <c r="IF7" vm="705">
        <f ca="1"/>
        <v>77.53</v>
      </c>
      <c r="IG7" vm="706">
        <f ca="1"/>
        <v>78</v>
      </c>
      <c r="IH7" vm="707">
        <f ca="1"/>
        <v>75.5</v>
      </c>
      <c r="II7" vm="708">
        <f ca="1"/>
        <v>74.63</v>
      </c>
      <c r="IJ7" vm="649">
        <f ca="1"/>
        <v>75.2</v>
      </c>
      <c r="IK7" vm="709">
        <f ca="1"/>
        <v>75.540000000000006</v>
      </c>
      <c r="IL7" vm="707">
        <f ca="1"/>
        <v>75.5</v>
      </c>
      <c r="IM7" vm="710">
        <f ca="1"/>
        <v>75.44</v>
      </c>
      <c r="IN7" vm="711">
        <f ca="1"/>
        <v>75.75</v>
      </c>
      <c r="IO7" vm="631">
        <f ca="1"/>
        <v>76.83</v>
      </c>
      <c r="IP7" vm="712">
        <f ca="1"/>
        <v>77.98</v>
      </c>
      <c r="IQ7" vm="713">
        <f ca="1"/>
        <v>74.89</v>
      </c>
      <c r="IR7" vm="714">
        <f ca="1"/>
        <v>69.099999999999994</v>
      </c>
      <c r="IS7" vm="715">
        <f ca="1"/>
        <v>67.930000000000007</v>
      </c>
      <c r="IT7" vm="716">
        <f ca="1"/>
        <v>68.37</v>
      </c>
      <c r="IU7" vm="717">
        <f ca="1"/>
        <v>68.72</v>
      </c>
      <c r="IV7" vm="718">
        <f ca="1"/>
        <v>68.48</v>
      </c>
      <c r="IW7" vm="719">
        <f ca="1"/>
        <v>69.19</v>
      </c>
      <c r="IX7" vm="720">
        <f ca="1"/>
        <v>66.739999999999995</v>
      </c>
      <c r="IY7" vm="721">
        <f ca="1"/>
        <v>66.94</v>
      </c>
      <c r="IZ7" vm="722">
        <f ca="1"/>
        <v>66.47</v>
      </c>
      <c r="JA7" vm="723">
        <f ca="1"/>
        <v>67.06</v>
      </c>
      <c r="JB7" vm="724">
        <f ca="1"/>
        <v>66</v>
      </c>
      <c r="JC7" vm="724">
        <f ca="1"/>
        <v>66</v>
      </c>
      <c r="JD7" vm="725">
        <f ca="1"/>
        <v>65.98</v>
      </c>
      <c r="JE7" vm="726">
        <f ca="1"/>
        <v>65.34</v>
      </c>
      <c r="JF7" vm="727">
        <f ca="1"/>
        <v>65.489999999999995</v>
      </c>
    </row>
    <row r="8" spans="1:266" ht="20" customHeight="1" x14ac:dyDescent="0.2">
      <c r="B8" t="e" vm="728">
        <v>#VALUE!</v>
      </c>
      <c r="C8" t="str">
        <f ca="1"/>
        <v>ETF</v>
      </c>
      <c r="D8" t="str">
        <f ca="1"/>
        <v>EUR</v>
      </c>
      <c r="E8">
        <v>0.72000000000000008</v>
      </c>
      <c r="F8">
        <f ca="1"/>
        <v>627.67999999999995</v>
      </c>
      <c r="G8">
        <f ca="1"/>
        <v>451.92959999999999</v>
      </c>
      <c r="H8" s="11" cm="1">
        <f t="array" aca="1" ref="H8" ca="1">(F8-IF(C8="USD",_FV( B8,"Clôture précédente",TRUE)*$K$4,_FV( B8,"Clôture précédente",TRUE)))*E8</f>
        <v>4.6943999999999875</v>
      </c>
      <c r="I8" s="8" cm="1">
        <f t="array" aca="1" ref="I8" ca="1">(F8-_FV(B8,"Clôture précédente",TRUE))/_FV(B8,"Clôture précédente",TRUE)</f>
        <v>1.0496490437246413E-2</v>
      </c>
      <c r="J8" s="12">
        <f ca="1"/>
        <v>-5.0104000000000042</v>
      </c>
      <c r="M8" cm="1" vm="729">
        <f t="array" aca="1" ref="M8:JD8" ca="1">TRANSPOSE(_xlfn.STOCKHISTORY(B8,TODAY()-365,TODAY(),0,0,1))</f>
        <v>596.28</v>
      </c>
      <c r="N8" vm="730">
        <f ca="1"/>
        <v>598.36</v>
      </c>
      <c r="O8" vm="731">
        <f ca="1"/>
        <v>599.9</v>
      </c>
      <c r="P8" vm="732">
        <f ca="1"/>
        <v>599.6</v>
      </c>
      <c r="Q8" vm="733">
        <f ca="1"/>
        <v>590.44000000000005</v>
      </c>
      <c r="R8" vm="734">
        <f ca="1"/>
        <v>588.55999999999995</v>
      </c>
      <c r="S8" vm="735">
        <f ca="1"/>
        <v>591.5</v>
      </c>
      <c r="T8" vm="736">
        <f ca="1"/>
        <v>594.22</v>
      </c>
      <c r="U8" vm="737">
        <f ca="1"/>
        <v>602.55999999999995</v>
      </c>
      <c r="V8" vm="738">
        <f ca="1"/>
        <v>606.96</v>
      </c>
      <c r="W8" vm="739">
        <f ca="1"/>
        <v>604.48</v>
      </c>
      <c r="X8" vm="740">
        <f ca="1"/>
        <v>608.96</v>
      </c>
      <c r="Y8" vm="741">
        <f ca="1"/>
        <v>600.79999999999995</v>
      </c>
      <c r="Z8" vm="742">
        <f ca="1"/>
        <v>603.74</v>
      </c>
      <c r="AA8" vm="743">
        <f ca="1"/>
        <v>604.79999999999995</v>
      </c>
      <c r="AB8" vm="744">
        <f ca="1"/>
        <v>610.20000000000005</v>
      </c>
      <c r="AC8" vm="745">
        <f ca="1"/>
        <v>609.79999999999995</v>
      </c>
      <c r="AD8" vm="746">
        <f ca="1"/>
        <v>610.52</v>
      </c>
      <c r="AE8" vm="747">
        <f ca="1"/>
        <v>610.54</v>
      </c>
      <c r="AF8" vm="748">
        <f ca="1"/>
        <v>611.08000000000004</v>
      </c>
      <c r="AG8" vm="749">
        <f ca="1"/>
        <v>608.29999999999995</v>
      </c>
      <c r="AH8" vm="750">
        <f ca="1"/>
        <v>607.29999999999995</v>
      </c>
      <c r="AI8" vm="751">
        <f ca="1"/>
        <v>615.02</v>
      </c>
      <c r="AJ8" vm="752">
        <f ca="1"/>
        <v>613.29999999999995</v>
      </c>
      <c r="AK8" vm="753">
        <f ca="1"/>
        <v>611.38</v>
      </c>
      <c r="AL8" vm="754">
        <f ca="1"/>
        <v>614.16</v>
      </c>
      <c r="AM8" vm="755">
        <f ca="1"/>
        <v>610.91999999999996</v>
      </c>
      <c r="AN8" vm="756">
        <f ca="1"/>
        <v>603.58000000000004</v>
      </c>
      <c r="AO8" vm="757">
        <f ca="1"/>
        <v>603.98</v>
      </c>
      <c r="AP8" vm="758">
        <f ca="1"/>
        <v>605.62</v>
      </c>
      <c r="AQ8" vm="759">
        <f ca="1"/>
        <v>607.26</v>
      </c>
      <c r="AR8" vm="760">
        <f ca="1"/>
        <v>604.96</v>
      </c>
      <c r="AS8" vm="761">
        <f ca="1"/>
        <v>601.26</v>
      </c>
      <c r="AT8" vm="762">
        <f ca="1"/>
        <v>602.76</v>
      </c>
      <c r="AU8" vm="763">
        <f ca="1"/>
        <v>611.1</v>
      </c>
      <c r="AV8" vm="764">
        <f ca="1"/>
        <v>611.48</v>
      </c>
      <c r="AW8" vm="765">
        <f ca="1"/>
        <v>607.66</v>
      </c>
      <c r="AX8" vm="766">
        <f ca="1"/>
        <v>607.64</v>
      </c>
      <c r="AY8" vm="767">
        <f ca="1"/>
        <v>608.91999999999996</v>
      </c>
      <c r="AZ8" vm="768">
        <f ca="1"/>
        <v>603.67999999999995</v>
      </c>
      <c r="BA8" vm="769">
        <f ca="1"/>
        <v>603.96</v>
      </c>
      <c r="BB8" vm="770">
        <f ca="1"/>
        <v>603.28</v>
      </c>
      <c r="BC8" vm="771">
        <f ca="1"/>
        <v>613.54</v>
      </c>
      <c r="BD8" vm="772">
        <f ca="1"/>
        <v>612.28</v>
      </c>
      <c r="BE8" vm="773">
        <f ca="1"/>
        <v>620.04</v>
      </c>
      <c r="BF8" vm="774">
        <f ca="1"/>
        <v>615.08000000000004</v>
      </c>
      <c r="BG8" vm="775">
        <f ca="1"/>
        <v>615.48</v>
      </c>
      <c r="BH8" vm="776">
        <f ca="1"/>
        <v>620.29999999999995</v>
      </c>
      <c r="BI8" vm="777">
        <f ca="1"/>
        <v>621.22</v>
      </c>
      <c r="BJ8" vm="778">
        <f ca="1"/>
        <v>617.08000000000004</v>
      </c>
      <c r="BK8" vm="779">
        <f ca="1"/>
        <v>606.64</v>
      </c>
      <c r="BL8" vm="780">
        <f ca="1"/>
        <v>618.02</v>
      </c>
      <c r="BM8" vm="781">
        <f ca="1"/>
        <v>614.4</v>
      </c>
      <c r="BN8" vm="782">
        <f ca="1"/>
        <v>617.96</v>
      </c>
      <c r="BO8" vm="783">
        <f ca="1"/>
        <v>619.91999999999996</v>
      </c>
      <c r="BP8" vm="784">
        <f ca="1"/>
        <v>619.96</v>
      </c>
      <c r="BQ8" vm="785">
        <f ca="1"/>
        <v>617</v>
      </c>
      <c r="BR8" vm="786">
        <f ca="1"/>
        <v>615.67999999999995</v>
      </c>
      <c r="BS8" vm="787">
        <f ca="1"/>
        <v>620.44000000000005</v>
      </c>
      <c r="BT8" vm="788">
        <f ca="1"/>
        <v>621.52</v>
      </c>
      <c r="BU8" vm="789">
        <f ca="1"/>
        <v>624.26</v>
      </c>
      <c r="BV8" vm="790">
        <f ca="1"/>
        <v>622.5</v>
      </c>
      <c r="BW8" vm="791">
        <f ca="1"/>
        <v>618.52</v>
      </c>
      <c r="BX8" vm="792">
        <f ca="1"/>
        <v>620.08000000000004</v>
      </c>
      <c r="BY8" vm="793">
        <f ca="1"/>
        <v>617.91999999999996</v>
      </c>
      <c r="BZ8" vm="794">
        <f ca="1"/>
        <v>621.08000000000004</v>
      </c>
      <c r="CA8" vm="795">
        <f ca="1"/>
        <v>621.84</v>
      </c>
      <c r="CB8" vm="796">
        <f ca="1"/>
        <v>626.14</v>
      </c>
      <c r="CC8" vm="797">
        <f ca="1"/>
        <v>617.54</v>
      </c>
      <c r="CD8" vm="798">
        <f ca="1"/>
        <v>613.28</v>
      </c>
      <c r="CE8" vm="799">
        <f ca="1"/>
        <v>610.41999999999996</v>
      </c>
      <c r="CF8" vm="800">
        <f ca="1"/>
        <v>602.36</v>
      </c>
      <c r="CG8" vm="801">
        <f ca="1"/>
        <v>602.28</v>
      </c>
      <c r="CH8" vm="802">
        <f ca="1"/>
        <v>600</v>
      </c>
      <c r="CI8" vm="803">
        <f ca="1"/>
        <v>600.02</v>
      </c>
      <c r="CJ8" vm="804">
        <f ca="1"/>
        <v>591.82000000000005</v>
      </c>
      <c r="CK8" vm="805">
        <f ca="1"/>
        <v>583.41999999999996</v>
      </c>
      <c r="CL8" vm="806">
        <f ca="1"/>
        <v>575.96</v>
      </c>
      <c r="CM8" vm="807">
        <f ca="1"/>
        <v>564.58000000000004</v>
      </c>
      <c r="CN8" vm="808">
        <f ca="1"/>
        <v>565.24</v>
      </c>
      <c r="CO8" vm="809">
        <f ca="1"/>
        <v>551.34</v>
      </c>
      <c r="CP8" vm="810">
        <f ca="1"/>
        <v>544.20000000000005</v>
      </c>
      <c r="CQ8" vm="811">
        <f ca="1"/>
        <v>545.72</v>
      </c>
      <c r="CR8" vm="812">
        <f ca="1"/>
        <v>540.58000000000004</v>
      </c>
      <c r="CS8" vm="813">
        <f ca="1"/>
        <v>550.02</v>
      </c>
      <c r="CT8" vm="814">
        <f ca="1"/>
        <v>552.62</v>
      </c>
      <c r="CU8" vm="815">
        <f ca="1"/>
        <v>546.08000000000004</v>
      </c>
      <c r="CV8" vm="816">
        <f ca="1"/>
        <v>553.94000000000005</v>
      </c>
      <c r="CW8" vm="817">
        <f ca="1"/>
        <v>553.88</v>
      </c>
      <c r="CX8" vm="818">
        <f ca="1"/>
        <v>554.94000000000005</v>
      </c>
      <c r="CY8" vm="819">
        <f ca="1"/>
        <v>566.17999999999995</v>
      </c>
      <c r="CZ8" vm="820">
        <f ca="1"/>
        <v>569.62</v>
      </c>
      <c r="DA8" vm="821">
        <f ca="1"/>
        <v>564.34</v>
      </c>
      <c r="DB8" vm="822">
        <f ca="1"/>
        <v>562.1</v>
      </c>
      <c r="DC8" vm="823">
        <f ca="1"/>
        <v>548</v>
      </c>
      <c r="DD8" vm="824">
        <f ca="1"/>
        <v>549.91999999999996</v>
      </c>
      <c r="DE8" vm="825">
        <f ca="1"/>
        <v>552.96</v>
      </c>
      <c r="DF8" vm="826">
        <f ca="1"/>
        <v>552.55999999999995</v>
      </c>
      <c r="DG8" vm="827">
        <f ca="1"/>
        <v>521.46</v>
      </c>
      <c r="DH8" vm="828">
        <f ca="1"/>
        <v>498.32</v>
      </c>
      <c r="DI8" vm="829">
        <f ca="1"/>
        <v>495.52</v>
      </c>
      <c r="DJ8" vm="830">
        <f ca="1"/>
        <v>483.06</v>
      </c>
      <c r="DK8" vm="831">
        <f ca="1"/>
        <v>532.32000000000005</v>
      </c>
      <c r="DL8" vm="832">
        <f ca="1"/>
        <v>500.3</v>
      </c>
      <c r="DM8" vm="833">
        <f ca="1"/>
        <v>502.84</v>
      </c>
      <c r="DN8" vm="834">
        <f ca="1"/>
        <v>507.88</v>
      </c>
      <c r="DO8" vm="835">
        <f ca="1"/>
        <v>509.84</v>
      </c>
      <c r="DP8" vm="836">
        <f ca="1"/>
        <v>497.58</v>
      </c>
      <c r="DQ8" vm="837">
        <f ca="1"/>
        <v>498.87</v>
      </c>
      <c r="DR8" vm="838">
        <f ca="1"/>
        <v>487.83</v>
      </c>
      <c r="DS8" vm="839">
        <f ca="1"/>
        <v>503.66</v>
      </c>
      <c r="DT8" vm="840">
        <f ca="1"/>
        <v>511.94</v>
      </c>
      <c r="DU8" vm="841">
        <f ca="1"/>
        <v>516.82000000000005</v>
      </c>
      <c r="DV8" vm="842">
        <f ca="1"/>
        <v>515.88</v>
      </c>
      <c r="DW8" vm="843">
        <f ca="1"/>
        <v>517.55999999999995</v>
      </c>
      <c r="DX8" vm="844">
        <f ca="1"/>
        <v>518.05999999999995</v>
      </c>
      <c r="DY8" vm="845">
        <f ca="1"/>
        <v>534.26</v>
      </c>
      <c r="DZ8" vm="846">
        <f ca="1"/>
        <v>534.46</v>
      </c>
      <c r="EA8" vm="847">
        <f ca="1"/>
        <v>524.34</v>
      </c>
      <c r="EB8" vm="848">
        <f ca="1"/>
        <v>527.79999999999995</v>
      </c>
      <c r="EC8" vm="849">
        <f ca="1"/>
        <v>541.24</v>
      </c>
      <c r="ED8" vm="850">
        <f ca="1"/>
        <v>534.58000000000004</v>
      </c>
      <c r="EE8" vm="851">
        <f ca="1"/>
        <v>560.29999999999995</v>
      </c>
      <c r="EF8" vm="852">
        <f ca="1"/>
        <v>561.55999999999995</v>
      </c>
      <c r="EG8" vm="853">
        <f ca="1"/>
        <v>560.76</v>
      </c>
      <c r="EH8" vm="854">
        <f ca="1"/>
        <v>563.94000000000005</v>
      </c>
      <c r="EI8" vm="855">
        <f ca="1"/>
        <v>568.08000000000004</v>
      </c>
      <c r="EJ8" vm="856">
        <f ca="1"/>
        <v>565.54</v>
      </c>
      <c r="EK8" vm="857">
        <f ca="1"/>
        <v>562.22</v>
      </c>
      <c r="EL8" vm="858">
        <f ca="1"/>
        <v>548.66</v>
      </c>
      <c r="EM8" vm="859">
        <f ca="1"/>
        <v>554</v>
      </c>
      <c r="EN8" vm="860">
        <f ca="1"/>
        <v>544.98</v>
      </c>
      <c r="EO8" vm="861">
        <f ca="1"/>
        <v>549.94000000000005</v>
      </c>
      <c r="EP8" vm="862">
        <f ca="1"/>
        <v>555.54</v>
      </c>
      <c r="EQ8" vm="863">
        <f ca="1"/>
        <v>557.46</v>
      </c>
      <c r="ER8" vm="864">
        <f ca="1"/>
        <v>553.54</v>
      </c>
      <c r="ES8" vm="865">
        <f ca="1"/>
        <v>550.38</v>
      </c>
      <c r="ET8" vm="866">
        <f ca="1"/>
        <v>552.29999999999995</v>
      </c>
      <c r="EU8" vm="867">
        <f ca="1"/>
        <v>559.72</v>
      </c>
      <c r="EV8" vm="868">
        <f ca="1"/>
        <v>557.52</v>
      </c>
      <c r="EW8" vm="869">
        <f ca="1"/>
        <v>556.17999999999995</v>
      </c>
      <c r="EX8" vm="870">
        <f ca="1"/>
        <v>560.64</v>
      </c>
      <c r="EY8" vm="871">
        <f ca="1"/>
        <v>561.05999999999995</v>
      </c>
      <c r="EZ8" vm="872">
        <f ca="1"/>
        <v>562.58000000000004</v>
      </c>
      <c r="FA8" vm="873">
        <f ca="1"/>
        <v>559.34</v>
      </c>
      <c r="FB8" vm="874">
        <f ca="1"/>
        <v>556.22</v>
      </c>
      <c r="FC8" vm="875">
        <f ca="1"/>
        <v>554.05999999999995</v>
      </c>
      <c r="FD8" vm="876">
        <f ca="1"/>
        <v>555.94000000000005</v>
      </c>
      <c r="FE8" vm="877">
        <f ca="1"/>
        <v>555.96</v>
      </c>
      <c r="FF8" vm="878">
        <f ca="1"/>
        <v>555.48</v>
      </c>
      <c r="FG8" vm="879">
        <f ca="1"/>
        <v>551.76</v>
      </c>
      <c r="FH8" vm="880">
        <f ca="1"/>
        <v>551.64</v>
      </c>
      <c r="FI8" vm="881">
        <f ca="1"/>
        <v>554.41999999999996</v>
      </c>
      <c r="FJ8" vm="882">
        <f ca="1"/>
        <v>559.91999999999996</v>
      </c>
      <c r="FK8" vm="883">
        <f ca="1"/>
        <v>558.12</v>
      </c>
      <c r="FL8" vm="884">
        <f ca="1"/>
        <v>557.84</v>
      </c>
      <c r="FM8" vm="885">
        <f ca="1"/>
        <v>562.17999999999995</v>
      </c>
      <c r="FN8" vm="886">
        <f ca="1"/>
        <v>560.24</v>
      </c>
      <c r="FO8" vm="887">
        <f ca="1"/>
        <v>561.67999999999995</v>
      </c>
      <c r="FP8" vm="888">
        <f ca="1"/>
        <v>562.02</v>
      </c>
      <c r="FQ8" vm="889">
        <f ca="1"/>
        <v>568.79999999999995</v>
      </c>
      <c r="FR8" vm="890">
        <f ca="1"/>
        <v>564.79999999999995</v>
      </c>
      <c r="FS8" vm="891">
        <f ca="1"/>
        <v>566.86</v>
      </c>
      <c r="FT8" vm="892">
        <f ca="1"/>
        <v>566.62</v>
      </c>
      <c r="FU8" vm="893">
        <f ca="1"/>
        <v>569.17999999999995</v>
      </c>
      <c r="FV8" vm="894">
        <f ca="1"/>
        <v>573.48</v>
      </c>
      <c r="FW8" vm="895">
        <f ca="1"/>
        <v>571.6</v>
      </c>
      <c r="FX8" vm="896">
        <f ca="1"/>
        <v>572.96</v>
      </c>
      <c r="FY8" vm="897">
        <f ca="1"/>
        <v>575</v>
      </c>
      <c r="FZ8" vm="898">
        <f ca="1"/>
        <v>572.28</v>
      </c>
      <c r="GA8" vm="899">
        <f ca="1"/>
        <v>579.14</v>
      </c>
      <c r="GB8" vm="900">
        <f ca="1"/>
        <v>577.54</v>
      </c>
      <c r="GC8" vm="901">
        <f ca="1"/>
        <v>578.05999999999995</v>
      </c>
      <c r="GD8" vm="902">
        <f ca="1"/>
        <v>573</v>
      </c>
      <c r="GE8" vm="903">
        <f ca="1"/>
        <v>575.79999999999995</v>
      </c>
      <c r="GF8" vm="904">
        <f ca="1"/>
        <v>577.88</v>
      </c>
      <c r="GG8" vm="905">
        <f ca="1"/>
        <v>581.14</v>
      </c>
      <c r="GH8" vm="906">
        <f ca="1"/>
        <v>587.34</v>
      </c>
      <c r="GI8" vm="907">
        <f ca="1"/>
        <v>589.12</v>
      </c>
      <c r="GJ8" vm="908">
        <f ca="1"/>
        <v>593.08000000000004</v>
      </c>
      <c r="GK8" vm="909">
        <f ca="1"/>
        <v>594.58000000000004</v>
      </c>
      <c r="GL8" vm="910">
        <f ca="1"/>
        <v>576.64</v>
      </c>
      <c r="GM8" vm="911">
        <f ca="1"/>
        <v>583.22</v>
      </c>
      <c r="GN8" vm="912">
        <f ca="1"/>
        <v>581.34</v>
      </c>
      <c r="GO8" vm="913">
        <f ca="1"/>
        <v>580.96</v>
      </c>
      <c r="GP8" vm="914">
        <f ca="1"/>
        <v>579.66</v>
      </c>
      <c r="GQ8" vm="915">
        <f ca="1"/>
        <v>585.08000000000004</v>
      </c>
      <c r="GR8" vm="916">
        <f ca="1"/>
        <v>585.29999999999995</v>
      </c>
      <c r="GS8" vm="917">
        <f ca="1"/>
        <v>588.98</v>
      </c>
      <c r="GT8" vm="918">
        <f ca="1"/>
        <v>588.86</v>
      </c>
      <c r="GU8" vm="908">
        <f ca="1"/>
        <v>593.08000000000004</v>
      </c>
      <c r="GV8" vm="919">
        <f ca="1"/>
        <v>589.08000000000004</v>
      </c>
      <c r="GW8" vm="920">
        <f ca="1"/>
        <v>589.58000000000004</v>
      </c>
      <c r="GX8" vm="921">
        <f ca="1"/>
        <v>587.6</v>
      </c>
      <c r="GY8" vm="922">
        <f ca="1"/>
        <v>585.96</v>
      </c>
      <c r="GZ8" vm="923">
        <f ca="1"/>
        <v>584.32000000000005</v>
      </c>
      <c r="HA8" vm="924">
        <f ca="1"/>
        <v>588.74</v>
      </c>
      <c r="HB8" vm="925">
        <f ca="1"/>
        <v>593.05999999999995</v>
      </c>
      <c r="HC8" vm="926">
        <f ca="1"/>
        <v>591.28</v>
      </c>
      <c r="HD8" vm="927">
        <f ca="1"/>
        <v>594.38</v>
      </c>
      <c r="HE8" vm="928">
        <f ca="1"/>
        <v>594.52</v>
      </c>
      <c r="HF8" vm="929">
        <f ca="1"/>
        <v>588.9</v>
      </c>
      <c r="HG8" vm="930">
        <f ca="1"/>
        <v>590.36</v>
      </c>
      <c r="HH8" vm="931">
        <f ca="1"/>
        <v>586.34</v>
      </c>
      <c r="HI8" vm="932">
        <f ca="1"/>
        <v>588.5</v>
      </c>
      <c r="HJ8" vm="933">
        <f ca="1"/>
        <v>594.74</v>
      </c>
      <c r="HK8" vm="929">
        <f ca="1"/>
        <v>588.9</v>
      </c>
      <c r="HL8" vm="934">
        <f ca="1"/>
        <v>589.84</v>
      </c>
      <c r="HM8" vm="935">
        <f ca="1"/>
        <v>592.86</v>
      </c>
      <c r="HN8" vm="936">
        <f ca="1"/>
        <v>596.16</v>
      </c>
      <c r="HO8" vm="937">
        <f ca="1"/>
        <v>599.34</v>
      </c>
      <c r="HP8" vm="938">
        <f ca="1"/>
        <v>599.94000000000005</v>
      </c>
      <c r="HQ8" vm="939">
        <f ca="1"/>
        <v>599.86</v>
      </c>
      <c r="HR8" vm="940">
        <f ca="1"/>
        <v>594.84</v>
      </c>
      <c r="HS8" vm="941">
        <f ca="1"/>
        <v>594.54</v>
      </c>
      <c r="HT8" vm="942">
        <f ca="1"/>
        <v>601.44000000000005</v>
      </c>
      <c r="HU8" vm="943">
        <f ca="1"/>
        <v>604.9</v>
      </c>
      <c r="HV8" vm="944">
        <f ca="1"/>
        <v>606.38</v>
      </c>
      <c r="HW8" vm="945">
        <f ca="1"/>
        <v>602.78</v>
      </c>
      <c r="HX8" vm="946">
        <f ca="1"/>
        <v>604.38</v>
      </c>
      <c r="HY8" vm="947">
        <f ca="1"/>
        <v>604.67999999999995</v>
      </c>
      <c r="HZ8" vm="948">
        <f ca="1"/>
        <v>606.48</v>
      </c>
      <c r="IA8" vm="949">
        <f ca="1"/>
        <v>606.6</v>
      </c>
      <c r="IB8" vm="950">
        <f ca="1"/>
        <v>604.04</v>
      </c>
      <c r="IC8" vm="951">
        <f ca="1"/>
        <v>611.02</v>
      </c>
      <c r="ID8" vm="952">
        <f ca="1"/>
        <v>611.98</v>
      </c>
      <c r="IE8" vm="953">
        <f ca="1"/>
        <v>611.86</v>
      </c>
      <c r="IF8" vm="954">
        <f ca="1"/>
        <v>615.70000000000005</v>
      </c>
      <c r="IG8" vm="955">
        <f ca="1"/>
        <v>615.66</v>
      </c>
      <c r="IH8" vm="956">
        <f ca="1"/>
        <v>621.94000000000005</v>
      </c>
      <c r="II8" vm="956">
        <f ca="1"/>
        <v>621.94000000000005</v>
      </c>
      <c r="IJ8" vm="957">
        <f ca="1"/>
        <v>605</v>
      </c>
      <c r="IK8" vm="958">
        <f ca="1"/>
        <v>614.62</v>
      </c>
      <c r="IL8" vm="959">
        <f ca="1"/>
        <v>614.58000000000004</v>
      </c>
      <c r="IM8" vm="960">
        <f ca="1"/>
        <v>609.74</v>
      </c>
      <c r="IN8" vm="961">
        <f ca="1"/>
        <v>605.70000000000005</v>
      </c>
      <c r="IO8" vm="962">
        <f ca="1"/>
        <v>608.16</v>
      </c>
      <c r="IP8" vm="963">
        <f ca="1"/>
        <v>619.02</v>
      </c>
      <c r="IQ8" vm="964">
        <f ca="1"/>
        <v>621.5</v>
      </c>
      <c r="IR8" vm="965">
        <f ca="1"/>
        <v>617.26</v>
      </c>
      <c r="IS8" vm="966">
        <f ca="1"/>
        <v>620.6</v>
      </c>
      <c r="IT8" vm="967">
        <f ca="1"/>
        <v>625.74</v>
      </c>
      <c r="IU8" vm="968">
        <f ca="1"/>
        <v>630.48</v>
      </c>
      <c r="IV8" vm="969">
        <f ca="1"/>
        <v>632.67999999999995</v>
      </c>
      <c r="IW8" vm="970">
        <f ca="1"/>
        <v>634.22</v>
      </c>
      <c r="IX8" vm="971">
        <f ca="1"/>
        <v>633.05999999999995</v>
      </c>
      <c r="IY8" vm="972">
        <f ca="1"/>
        <v>634.88</v>
      </c>
      <c r="IZ8" vm="973">
        <f ca="1"/>
        <v>636.1</v>
      </c>
      <c r="JA8" vm="974">
        <f ca="1"/>
        <v>631.82000000000005</v>
      </c>
      <c r="JB8" vm="975">
        <f ca="1"/>
        <v>635.22</v>
      </c>
      <c r="JC8" vm="976">
        <f ca="1"/>
        <v>625.28</v>
      </c>
      <c r="JD8" vm="977">
        <f ca="1"/>
        <v>621.16</v>
      </c>
    </row>
    <row r="9" spans="1:266" ht="20" customHeight="1" x14ac:dyDescent="0.2">
      <c r="B9" t="e" vm="978">
        <v>#VALUE!</v>
      </c>
      <c r="C9" t="str">
        <f ca="1"/>
        <v>Semiconductors &amp; Semiconductor Equipment</v>
      </c>
      <c r="D9" t="str">
        <f ca="1"/>
        <v>USD</v>
      </c>
      <c r="E9">
        <v>0.99999999999999989</v>
      </c>
      <c r="F9">
        <f ca="1"/>
        <v>188.15</v>
      </c>
      <c r="G9">
        <f ca="1"/>
        <v>188.14999999999998</v>
      </c>
      <c r="H9" s="11" cm="1">
        <f t="array" aca="1" ref="H9" ca="1">(F9-IF(C9="USD",_FV( B9,"Clôture précédente",TRUE)*$K$4,_FV( B9,"Clôture précédente",TRUE)))*E9</f>
        <v>6.9999999999993165E-2</v>
      </c>
      <c r="I9" s="8" cm="1">
        <f t="array" aca="1" ref="I9" ca="1">(F9-_FV(B9,"Clôture précédente",TRUE))/_FV(B9,"Clôture précédente",TRUE)</f>
        <v>3.721820501913716E-4</v>
      </c>
      <c r="J9" s="12">
        <f ca="1"/>
        <v>35.389999999999986</v>
      </c>
      <c r="M9" cm="1" vm="979">
        <f t="array" aca="1" ref="M9:JA9" ca="1">TRANSPOSE(_xlfn.STOCKHISTORY(B9,TODAY()-365,TODAY(),0,0,1))</f>
        <v>145.26</v>
      </c>
      <c r="N9" vm="980">
        <f ca="1"/>
        <v>148.29</v>
      </c>
      <c r="O9" vm="981">
        <f ca="1"/>
        <v>146.27000000000001</v>
      </c>
      <c r="P9" vm="982">
        <f ca="1"/>
        <v>146.76</v>
      </c>
      <c r="Q9" vm="983">
        <f ca="1"/>
        <v>141.97999999999999</v>
      </c>
      <c r="R9" vm="984">
        <f ca="1"/>
        <v>140.15</v>
      </c>
      <c r="S9" vm="985">
        <f ca="1"/>
        <v>147.01</v>
      </c>
      <c r="T9" vm="986">
        <f ca="1"/>
        <v>145.88999999999999</v>
      </c>
      <c r="U9" vm="987">
        <f ca="1"/>
        <v>146.66999999999999</v>
      </c>
      <c r="V9" vm="988">
        <f ca="1"/>
        <v>141.94999999999999</v>
      </c>
      <c r="W9" vm="989">
        <f ca="1"/>
        <v>136.02000000000001</v>
      </c>
      <c r="X9" vm="990">
        <f ca="1"/>
        <v>136.91999999999999</v>
      </c>
      <c r="Y9" vm="991">
        <f ca="1"/>
        <v>135.34</v>
      </c>
      <c r="Z9" vm="992">
        <f ca="1"/>
        <v>138.25</v>
      </c>
      <c r="AA9" vm="993">
        <f ca="1"/>
        <v>138.63</v>
      </c>
      <c r="AB9" vm="994">
        <f ca="1"/>
        <v>140.26</v>
      </c>
      <c r="AC9" vm="995">
        <f ca="1"/>
        <v>145.13999999999999</v>
      </c>
      <c r="AD9" vm="996">
        <f ca="1"/>
        <v>145.06</v>
      </c>
      <c r="AE9" vm="997">
        <f ca="1"/>
        <v>142.44</v>
      </c>
      <c r="AF9" vm="998">
        <f ca="1"/>
        <v>138.81</v>
      </c>
      <c r="AG9" vm="999">
        <f ca="1"/>
        <v>135.07</v>
      </c>
      <c r="AH9" vm="1000">
        <f ca="1"/>
        <v>139.31</v>
      </c>
      <c r="AI9" vm="1001">
        <f ca="1"/>
        <v>137.34</v>
      </c>
      <c r="AJ9" vm="1002">
        <f ca="1"/>
        <v>134.25</v>
      </c>
      <c r="AK9" vm="1003">
        <f ca="1"/>
        <v>132</v>
      </c>
      <c r="AL9" vm="1004">
        <f ca="1"/>
        <v>130.38999999999999</v>
      </c>
      <c r="AM9" vm="1005">
        <f ca="1"/>
        <v>128.91</v>
      </c>
      <c r="AN9" vm="1006">
        <f ca="1"/>
        <v>130.68</v>
      </c>
      <c r="AO9" vm="1007">
        <f ca="1"/>
        <v>134.69999999999999</v>
      </c>
      <c r="AP9" vm="1008">
        <f ca="1"/>
        <v>139.66999999999999</v>
      </c>
      <c r="AQ9" vm="1009">
        <f ca="1"/>
        <v>140.22</v>
      </c>
      <c r="AR9" vm="1010">
        <f ca="1"/>
        <v>139.93</v>
      </c>
      <c r="AS9" vm="1011">
        <f ca="1"/>
        <v>137.01</v>
      </c>
      <c r="AT9" vm="1012">
        <f ca="1"/>
        <v>137.49</v>
      </c>
      <c r="AU9" vm="1013">
        <f ca="1"/>
        <v>134.29</v>
      </c>
      <c r="AV9" vm="1014">
        <f ca="1"/>
        <v>138.31</v>
      </c>
      <c r="AW9" vm="1015">
        <f ca="1"/>
        <v>144.47</v>
      </c>
      <c r="AX9" vm="1016">
        <f ca="1"/>
        <v>149.43</v>
      </c>
      <c r="AY9" vm="1017">
        <f ca="1"/>
        <v>140.13999999999999</v>
      </c>
      <c r="AZ9" vm="1018">
        <f ca="1"/>
        <v>140.11000000000001</v>
      </c>
      <c r="BA9" vm="1019">
        <f ca="1"/>
        <v>135.91</v>
      </c>
      <c r="BB9" vm="1020">
        <f ca="1"/>
        <v>133.22999999999999</v>
      </c>
      <c r="BC9" vm="1021">
        <f ca="1"/>
        <v>131.76</v>
      </c>
      <c r="BD9" vm="1022">
        <f ca="1"/>
        <v>136.24</v>
      </c>
      <c r="BE9" vm="1023">
        <f ca="1"/>
        <v>133.57</v>
      </c>
      <c r="BF9" vm="1024">
        <f ca="1"/>
        <v>137.71</v>
      </c>
      <c r="BG9" vm="1025">
        <f ca="1"/>
        <v>140.83000000000001</v>
      </c>
      <c r="BH9" vm="1026">
        <f ca="1"/>
        <v>147.07</v>
      </c>
      <c r="BI9" vm="1027">
        <f ca="1"/>
        <v>147.22</v>
      </c>
      <c r="BJ9" vm="1028">
        <f ca="1"/>
        <v>142.62</v>
      </c>
      <c r="BK9" vm="1029">
        <f ca="1"/>
        <v>118.42</v>
      </c>
      <c r="BL9" vm="1030">
        <f ca="1"/>
        <v>128.99</v>
      </c>
      <c r="BM9" vm="1031">
        <f ca="1"/>
        <v>123.7</v>
      </c>
      <c r="BN9" vm="1032">
        <f ca="1"/>
        <v>124.65</v>
      </c>
      <c r="BO9" vm="1033">
        <f ca="1"/>
        <v>120.07</v>
      </c>
      <c r="BP9" vm="1034">
        <f ca="1"/>
        <v>116.66</v>
      </c>
      <c r="BQ9" vm="1035">
        <f ca="1"/>
        <v>118.65</v>
      </c>
      <c r="BR9" vm="1036">
        <f ca="1"/>
        <v>124.83</v>
      </c>
      <c r="BS9" vm="1037">
        <f ca="1"/>
        <v>128.68</v>
      </c>
      <c r="BT9" vm="1038">
        <f ca="1"/>
        <v>129.84</v>
      </c>
      <c r="BU9" vm="1023">
        <f ca="1"/>
        <v>133.57</v>
      </c>
      <c r="BV9" vm="1039">
        <f ca="1"/>
        <v>132.80000000000001</v>
      </c>
      <c r="BW9" vm="1040">
        <f ca="1"/>
        <v>131.13999999999999</v>
      </c>
      <c r="BX9" vm="1041">
        <f ca="1"/>
        <v>135.29</v>
      </c>
      <c r="BY9" vm="1042">
        <f ca="1"/>
        <v>138.85</v>
      </c>
      <c r="BZ9" vm="1043">
        <f ca="1"/>
        <v>139.4</v>
      </c>
      <c r="CA9" vm="1044">
        <f ca="1"/>
        <v>139.22999999999999</v>
      </c>
      <c r="CB9" vm="1018">
        <f ca="1"/>
        <v>140.11000000000001</v>
      </c>
      <c r="CC9" vm="1045">
        <f ca="1"/>
        <v>134.43</v>
      </c>
      <c r="CD9" vm="1046">
        <f ca="1"/>
        <v>130.28</v>
      </c>
      <c r="CE9" vm="1047">
        <f ca="1"/>
        <v>126.63</v>
      </c>
      <c r="CF9" vm="1048">
        <f ca="1"/>
        <v>131.28</v>
      </c>
      <c r="CG9" vm="1049">
        <f ca="1"/>
        <v>120.15</v>
      </c>
      <c r="CH9" vm="1050">
        <f ca="1"/>
        <v>124.92</v>
      </c>
      <c r="CI9" vm="1051">
        <f ca="1"/>
        <v>114.06</v>
      </c>
      <c r="CJ9" vm="1052">
        <f ca="1"/>
        <v>115.99</v>
      </c>
      <c r="CK9" vm="1053">
        <f ca="1"/>
        <v>117.3</v>
      </c>
      <c r="CL9" vm="1054">
        <f ca="1"/>
        <v>110.57</v>
      </c>
      <c r="CM9" vm="1055">
        <f ca="1"/>
        <v>112.69</v>
      </c>
      <c r="CN9" vm="1056">
        <f ca="1"/>
        <v>106.98</v>
      </c>
      <c r="CO9" vm="1057">
        <f ca="1"/>
        <v>108.76</v>
      </c>
      <c r="CP9" vm="1058">
        <f ca="1"/>
        <v>115.74</v>
      </c>
      <c r="CQ9" vm="1059">
        <f ca="1"/>
        <v>115.58</v>
      </c>
      <c r="CR9" vm="1060">
        <f ca="1"/>
        <v>121.67</v>
      </c>
      <c r="CS9" vm="1061">
        <f ca="1"/>
        <v>119.53</v>
      </c>
      <c r="CT9" vm="1062">
        <f ca="1"/>
        <v>115.43</v>
      </c>
      <c r="CU9" vm="1063">
        <f ca="1"/>
        <v>117.52</v>
      </c>
      <c r="CV9" vm="1064">
        <f ca="1"/>
        <v>118.53</v>
      </c>
      <c r="CW9" vm="1065">
        <f ca="1"/>
        <v>117.7</v>
      </c>
      <c r="CX9" vm="1066">
        <f ca="1"/>
        <v>121.41</v>
      </c>
      <c r="CY9" vm="1067">
        <f ca="1"/>
        <v>120.69</v>
      </c>
      <c r="CZ9" vm="1068">
        <f ca="1"/>
        <v>113.76</v>
      </c>
      <c r="DA9" vm="1069">
        <f ca="1"/>
        <v>111.43</v>
      </c>
      <c r="DB9" vm="1070">
        <f ca="1"/>
        <v>109.67</v>
      </c>
      <c r="DC9" vm="1071">
        <f ca="1"/>
        <v>108.38</v>
      </c>
      <c r="DD9" vm="1072">
        <f ca="1"/>
        <v>110.15</v>
      </c>
      <c r="DE9" vm="1073">
        <f ca="1"/>
        <v>110.42</v>
      </c>
      <c r="DF9" vm="1074">
        <f ca="1"/>
        <v>101.8</v>
      </c>
      <c r="DG9" vm="1075">
        <f ca="1"/>
        <v>94.31</v>
      </c>
      <c r="DH9" vm="1076">
        <f ca="1"/>
        <v>97.64</v>
      </c>
      <c r="DI9" vm="1077">
        <f ca="1"/>
        <v>96.3</v>
      </c>
      <c r="DJ9" vm="1078">
        <f ca="1"/>
        <v>114.33</v>
      </c>
      <c r="DK9" vm="1079">
        <f ca="1"/>
        <v>107.57</v>
      </c>
      <c r="DL9" vm="1080">
        <f ca="1"/>
        <v>110.93</v>
      </c>
      <c r="DM9" vm="1081">
        <f ca="1"/>
        <v>110.71</v>
      </c>
      <c r="DN9" vm="1082">
        <f ca="1"/>
        <v>112.2</v>
      </c>
      <c r="DO9" vm="1083">
        <f ca="1"/>
        <v>104.49</v>
      </c>
      <c r="DP9" vm="1084">
        <f ca="1"/>
        <v>101.49</v>
      </c>
      <c r="DQ9" vm="1085">
        <f ca="1"/>
        <v>96.91</v>
      </c>
      <c r="DR9" vm="1086">
        <f ca="1"/>
        <v>98.89</v>
      </c>
      <c r="DS9" vm="1087">
        <f ca="1"/>
        <v>102.71</v>
      </c>
      <c r="DT9" vm="1088">
        <f ca="1"/>
        <v>106.43</v>
      </c>
      <c r="DU9" vm="1089">
        <f ca="1"/>
        <v>111.01</v>
      </c>
      <c r="DV9" vm="1090">
        <f ca="1"/>
        <v>108.73</v>
      </c>
      <c r="DW9" vm="1091">
        <f ca="1"/>
        <v>109.02</v>
      </c>
      <c r="DX9" vm="1092">
        <f ca="1"/>
        <v>108.92</v>
      </c>
      <c r="DY9" vm="1093">
        <f ca="1"/>
        <v>111.61</v>
      </c>
      <c r="DZ9" vm="1094">
        <f ca="1"/>
        <v>114.5</v>
      </c>
      <c r="EA9" vm="1095">
        <f ca="1"/>
        <v>113.82</v>
      </c>
      <c r="EB9" vm="1096">
        <f ca="1"/>
        <v>113.54</v>
      </c>
      <c r="EC9" vm="1097">
        <f ca="1"/>
        <v>117.06</v>
      </c>
      <c r="ED9" vm="1098">
        <f ca="1"/>
        <v>117.37</v>
      </c>
      <c r="EE9" vm="1099">
        <f ca="1"/>
        <v>116.65</v>
      </c>
      <c r="EF9" vm="1100">
        <f ca="1"/>
        <v>123</v>
      </c>
      <c r="EG9" vm="1101">
        <f ca="1"/>
        <v>129.93</v>
      </c>
      <c r="EH9" vm="991">
        <f ca="1"/>
        <v>135.34</v>
      </c>
      <c r="EI9" vm="1102">
        <f ca="1"/>
        <v>134.83000000000001</v>
      </c>
      <c r="EJ9" vm="1103">
        <f ca="1"/>
        <v>135.4</v>
      </c>
      <c r="EK9" vm="1104">
        <f ca="1"/>
        <v>135.57</v>
      </c>
      <c r="EL9" vm="1105">
        <f ca="1"/>
        <v>134.38</v>
      </c>
      <c r="EM9" vm="1106">
        <f ca="1"/>
        <v>131.80000000000001</v>
      </c>
      <c r="EN9" vm="1107">
        <f ca="1"/>
        <v>132.83000000000001</v>
      </c>
      <c r="EO9" vm="1108">
        <f ca="1"/>
        <v>131.29</v>
      </c>
      <c r="EP9" vm="1109">
        <f ca="1"/>
        <v>135.5</v>
      </c>
      <c r="EQ9" vm="1110">
        <f ca="1"/>
        <v>134.81</v>
      </c>
      <c r="ER9" vm="1111">
        <f ca="1"/>
        <v>139.19</v>
      </c>
      <c r="ES9" vm="1112">
        <f ca="1"/>
        <v>135.13</v>
      </c>
      <c r="ET9" vm="1113">
        <f ca="1"/>
        <v>137.38</v>
      </c>
      <c r="EU9" vm="1114">
        <f ca="1"/>
        <v>141.22</v>
      </c>
      <c r="EV9" vm="1115">
        <f ca="1"/>
        <v>141.91999999999999</v>
      </c>
      <c r="EW9" vm="1116">
        <f ca="1"/>
        <v>139.99</v>
      </c>
      <c r="EX9" vm="1117">
        <f ca="1"/>
        <v>141.72</v>
      </c>
      <c r="EY9" vm="1118">
        <f ca="1"/>
        <v>142.63</v>
      </c>
      <c r="EZ9" vm="1119">
        <f ca="1"/>
        <v>143.96</v>
      </c>
      <c r="FA9" vm="1120">
        <f ca="1"/>
        <v>142.83000000000001</v>
      </c>
      <c r="FB9" vm="1121">
        <f ca="1"/>
        <v>145</v>
      </c>
      <c r="FC9" vm="1122">
        <f ca="1"/>
        <v>141.97</v>
      </c>
      <c r="FD9" vm="1123">
        <f ca="1"/>
        <v>144.69</v>
      </c>
      <c r="FE9" vm="1124">
        <f ca="1"/>
        <v>144.12</v>
      </c>
      <c r="FF9" vm="1125">
        <f ca="1"/>
        <v>145.47999999999999</v>
      </c>
      <c r="FG9" vm="1126">
        <f ca="1"/>
        <v>143.85</v>
      </c>
      <c r="FH9" vm="1127">
        <f ca="1"/>
        <v>144.16999999999999</v>
      </c>
      <c r="FI9" vm="1128">
        <f ca="1"/>
        <v>147.9</v>
      </c>
      <c r="FJ9" vm="1129">
        <f ca="1"/>
        <v>154.31</v>
      </c>
      <c r="FK9" vm="1130">
        <f ca="1"/>
        <v>155.02000000000001</v>
      </c>
      <c r="FL9" vm="1131">
        <f ca="1"/>
        <v>157.75</v>
      </c>
      <c r="FM9" vm="1132">
        <f ca="1"/>
        <v>157.99</v>
      </c>
      <c r="FN9" vm="1133">
        <f ca="1"/>
        <v>153.30000000000001</v>
      </c>
      <c r="FO9" vm="1134">
        <f ca="1"/>
        <v>157.25</v>
      </c>
      <c r="FP9" vm="1135">
        <f ca="1"/>
        <v>159.34</v>
      </c>
      <c r="FQ9" vm="1136">
        <f ca="1"/>
        <v>158.24</v>
      </c>
      <c r="FR9" vm="1137">
        <f ca="1"/>
        <v>160</v>
      </c>
      <c r="FS9" vm="1138">
        <f ca="1"/>
        <v>162.88</v>
      </c>
      <c r="FT9" vm="1139">
        <f ca="1"/>
        <v>164.1</v>
      </c>
      <c r="FU9" vm="1140">
        <f ca="1"/>
        <v>164.92</v>
      </c>
      <c r="FV9" vm="1141">
        <f ca="1"/>
        <v>164.07</v>
      </c>
      <c r="FW9" vm="1142">
        <f ca="1"/>
        <v>170.7</v>
      </c>
      <c r="FX9" vm="1143">
        <f ca="1"/>
        <v>171.37</v>
      </c>
      <c r="FY9" vm="1144">
        <f ca="1"/>
        <v>173</v>
      </c>
      <c r="FZ9" vm="1145">
        <f ca="1"/>
        <v>172.41</v>
      </c>
      <c r="GA9" vm="1146">
        <f ca="1"/>
        <v>171.38</v>
      </c>
      <c r="GB9" vm="1147">
        <f ca="1"/>
        <v>167.03</v>
      </c>
      <c r="GC9" vm="1148">
        <f ca="1"/>
        <v>170.78</v>
      </c>
      <c r="GD9" vm="1149">
        <f ca="1"/>
        <v>173.74</v>
      </c>
      <c r="GE9" vm="1150">
        <f ca="1"/>
        <v>173.5</v>
      </c>
      <c r="GF9" vm="1151">
        <f ca="1"/>
        <v>176.75</v>
      </c>
      <c r="GG9" vm="1152">
        <f ca="1"/>
        <v>175.51</v>
      </c>
      <c r="GH9" vm="1153">
        <f ca="1"/>
        <v>179.27</v>
      </c>
      <c r="GI9" vm="1154">
        <f ca="1"/>
        <v>177.87</v>
      </c>
      <c r="GJ9" vm="1155">
        <f ca="1"/>
        <v>173.72</v>
      </c>
      <c r="GK9" vm="1156">
        <f ca="1"/>
        <v>180</v>
      </c>
      <c r="GL9" vm="1157">
        <f ca="1"/>
        <v>178.26</v>
      </c>
      <c r="GM9" vm="1158">
        <f ca="1"/>
        <v>179.42</v>
      </c>
      <c r="GN9" vm="1159">
        <f ca="1"/>
        <v>180.77</v>
      </c>
      <c r="GO9" vm="1160">
        <f ca="1"/>
        <v>182.7</v>
      </c>
      <c r="GP9" vm="1161">
        <f ca="1"/>
        <v>182.06</v>
      </c>
      <c r="GQ9" vm="1162">
        <f ca="1"/>
        <v>183.16</v>
      </c>
      <c r="GR9" vm="1163">
        <f ca="1"/>
        <v>181.59</v>
      </c>
      <c r="GS9" vm="1164">
        <f ca="1"/>
        <v>182.02</v>
      </c>
      <c r="GT9" vm="1165">
        <f ca="1"/>
        <v>180.45</v>
      </c>
      <c r="GU9" vm="1166">
        <f ca="1"/>
        <v>182.01</v>
      </c>
      <c r="GV9" vm="1167">
        <f ca="1"/>
        <v>175.64</v>
      </c>
      <c r="GW9" vm="1168">
        <f ca="1"/>
        <v>175.4</v>
      </c>
      <c r="GX9" vm="1169">
        <f ca="1"/>
        <v>174.98</v>
      </c>
      <c r="GY9" vm="1170">
        <f ca="1"/>
        <v>177.99</v>
      </c>
      <c r="GZ9" vm="1171">
        <f ca="1"/>
        <v>179.81</v>
      </c>
      <c r="HA9" vm="1172">
        <f ca="1"/>
        <v>181.77</v>
      </c>
      <c r="HB9" vm="1173">
        <f ca="1"/>
        <v>181.6</v>
      </c>
      <c r="HC9" vm="1174">
        <f ca="1"/>
        <v>180.17</v>
      </c>
      <c r="HD9" vm="1175">
        <f ca="1"/>
        <v>174.18</v>
      </c>
      <c r="HE9" vm="1148">
        <f ca="1"/>
        <v>170.78</v>
      </c>
      <c r="HF9" vm="1176">
        <f ca="1"/>
        <v>170.62</v>
      </c>
      <c r="HG9" vm="1177">
        <f ca="1"/>
        <v>171.66</v>
      </c>
      <c r="HH9" vm="1178">
        <f ca="1"/>
        <v>167.02</v>
      </c>
      <c r="HI9" vm="1179">
        <f ca="1"/>
        <v>168.31</v>
      </c>
      <c r="HJ9" vm="1180">
        <f ca="1"/>
        <v>170.76</v>
      </c>
      <c r="HK9" vm="1181">
        <f ca="1"/>
        <v>177.33</v>
      </c>
      <c r="HL9" vm="1182">
        <f ca="1"/>
        <v>177.17</v>
      </c>
      <c r="HM9" vm="1183">
        <f ca="1"/>
        <v>177.82</v>
      </c>
      <c r="HN9" vm="1184">
        <f ca="1"/>
        <v>177.75</v>
      </c>
      <c r="HO9" vm="1185">
        <f ca="1"/>
        <v>174.88</v>
      </c>
      <c r="HP9" vm="1186">
        <f ca="1"/>
        <v>170.29</v>
      </c>
      <c r="HQ9" vm="1187">
        <f ca="1"/>
        <v>176.24</v>
      </c>
      <c r="HR9" vm="1188">
        <f ca="1"/>
        <v>176.67</v>
      </c>
      <c r="HS9" vm="1189">
        <f ca="1"/>
        <v>183.61</v>
      </c>
      <c r="HT9" vm="1190">
        <f ca="1"/>
        <v>178.43</v>
      </c>
      <c r="HU9" vm="1191">
        <f ca="1"/>
        <v>176.97</v>
      </c>
      <c r="HV9" vm="1192">
        <f ca="1"/>
        <v>177.69</v>
      </c>
      <c r="HW9" vm="1193">
        <f ca="1"/>
        <v>178.19</v>
      </c>
      <c r="HX9" vm="1194">
        <f ca="1"/>
        <v>181.85</v>
      </c>
      <c r="HY9" vm="1195">
        <f ca="1"/>
        <v>186.58</v>
      </c>
      <c r="HZ9" vm="1196">
        <f ca="1"/>
        <v>187.24</v>
      </c>
      <c r="IA9" vm="1197">
        <f ca="1"/>
        <v>188.89</v>
      </c>
      <c r="IB9" vm="1198">
        <f ca="1"/>
        <v>187.62</v>
      </c>
      <c r="IC9" vm="1199">
        <f ca="1"/>
        <v>185.54</v>
      </c>
      <c r="ID9" vm="1200">
        <f ca="1"/>
        <v>185.04</v>
      </c>
      <c r="IE9" vm="1201">
        <f ca="1"/>
        <v>189.11</v>
      </c>
      <c r="IF9" vm="1202">
        <f ca="1"/>
        <v>192.57</v>
      </c>
      <c r="IG9" vm="1162">
        <f ca="1"/>
        <v>183.16</v>
      </c>
      <c r="IH9" vm="1203">
        <f ca="1"/>
        <v>188.32</v>
      </c>
      <c r="II9" vm="1204">
        <f ca="1"/>
        <v>180.03</v>
      </c>
      <c r="IJ9" vm="1205">
        <f ca="1"/>
        <v>179.83</v>
      </c>
      <c r="IK9" vm="1206">
        <f ca="1"/>
        <v>181.81</v>
      </c>
      <c r="IL9" vm="1207">
        <f ca="1"/>
        <v>183.22</v>
      </c>
      <c r="IM9" vm="1208">
        <f ca="1"/>
        <v>182.64</v>
      </c>
      <c r="IN9" vm="1209">
        <f ca="1"/>
        <v>181.16</v>
      </c>
      <c r="IO9" vm="1210">
        <f ca="1"/>
        <v>180.28</v>
      </c>
      <c r="IP9" vm="1211">
        <f ca="1"/>
        <v>182.16</v>
      </c>
      <c r="IQ9" vm="1212">
        <f ca="1"/>
        <v>186.26</v>
      </c>
      <c r="IR9" vm="1213">
        <f ca="1"/>
        <v>191.49</v>
      </c>
      <c r="IS9" vm="1214">
        <f ca="1"/>
        <v>201.03</v>
      </c>
      <c r="IT9" vm="1215">
        <f ca="1"/>
        <v>207.04</v>
      </c>
      <c r="IU9" vm="1216">
        <f ca="1"/>
        <v>202.89</v>
      </c>
      <c r="IV9" vm="1217">
        <f ca="1"/>
        <v>202.49</v>
      </c>
      <c r="IW9" vm="1218">
        <f ca="1"/>
        <v>206.88</v>
      </c>
      <c r="IX9" vm="1219">
        <f ca="1"/>
        <v>198.69</v>
      </c>
      <c r="IY9" vm="1220">
        <f ca="1"/>
        <v>195.21</v>
      </c>
      <c r="IZ9" vm="1221">
        <f ca="1"/>
        <v>188.08</v>
      </c>
      <c r="JA9" vm="1222">
        <f ca="1"/>
        <v>188.15</v>
      </c>
    </row>
    <row r="10" spans="1:266" ht="20" customHeight="1" x14ac:dyDescent="0.2">
      <c r="B10" t="e" vm="1223">
        <v>#VALUE!</v>
      </c>
      <c r="C10" t="str">
        <f ca="1"/>
        <v>Software &amp; IT Services</v>
      </c>
      <c r="D10" t="str">
        <f ca="1"/>
        <v>USD</v>
      </c>
      <c r="E10">
        <v>1</v>
      </c>
      <c r="F10">
        <f ca="1"/>
        <v>212.285</v>
      </c>
      <c r="G10">
        <f ca="1"/>
        <v>212.285</v>
      </c>
      <c r="H10" s="11" cm="1">
        <f t="array" aca="1" ref="H10" ca="1">(F10-IF(C10="USD",_FV( B10,"Clôture précédente",TRUE)*$K$4,_FV( B10,"Clôture précédente",TRUE)))*E10</f>
        <v>0.91499999999999204</v>
      </c>
      <c r="I10" s="8" cm="1">
        <f t="array" aca="1" ref="I10" ca="1">(F10-_FV(B10,"Clôture précédente",TRUE))/_FV(B10,"Clôture précédente",TRUE)</f>
        <v>4.3289019255333874E-3</v>
      </c>
      <c r="J10" s="12">
        <f ca="1"/>
        <v>19.335000000000008</v>
      </c>
      <c r="M10" cm="1" vm="1224">
        <f t="array" aca="1" ref="M10:JA10" ca="1">TRANSPOSE(_xlfn.STOCKHISTORY(B10,TODAY()-365,TODAY(),0,0,1))</f>
        <v>199.05</v>
      </c>
      <c r="N10" vm="1225">
        <f ca="1"/>
        <v>199.01</v>
      </c>
      <c r="O10" vm="1226">
        <f ca="1"/>
        <v>201.18</v>
      </c>
      <c r="P10" vm="1227">
        <f ca="1"/>
        <v>197.19499999999999</v>
      </c>
      <c r="Q10" vm="1228">
        <f ca="1"/>
        <v>193.5</v>
      </c>
      <c r="R10" vm="1229">
        <f ca="1"/>
        <v>193.41499999999999</v>
      </c>
      <c r="S10" vm="1230">
        <f ca="1"/>
        <v>194.03</v>
      </c>
      <c r="T10" vm="1231">
        <f ca="1"/>
        <v>196.44499999999999</v>
      </c>
      <c r="U10" vm="1232">
        <f ca="1"/>
        <v>198.85</v>
      </c>
      <c r="V10" vm="1233">
        <f ca="1"/>
        <v>191.68</v>
      </c>
      <c r="W10" vm="1234">
        <f ca="1"/>
        <v>193.19</v>
      </c>
      <c r="X10" vm="1235">
        <f ca="1"/>
        <v>198.2</v>
      </c>
      <c r="Y10" vm="1236">
        <f ca="1"/>
        <v>192.185</v>
      </c>
      <c r="Z10" vm="1237">
        <f ca="1"/>
        <v>193.91</v>
      </c>
      <c r="AA10" vm="1238">
        <f ca="1"/>
        <v>195.08500000000001</v>
      </c>
      <c r="AB10" vm="1239">
        <f ca="1"/>
        <v>196.29499999999999</v>
      </c>
      <c r="AC10" vm="1240">
        <f ca="1"/>
        <v>202.29</v>
      </c>
      <c r="AD10" vm="1241">
        <f ca="1"/>
        <v>201.51499999999999</v>
      </c>
      <c r="AE10" vm="1242">
        <f ca="1"/>
        <v>202.95</v>
      </c>
      <c r="AF10" vm="1243">
        <f ca="1"/>
        <v>194.47</v>
      </c>
      <c r="AG10" vm="1244">
        <f ca="1"/>
        <v>194.88</v>
      </c>
      <c r="AH10" vm="1245">
        <f ca="1"/>
        <v>199.21</v>
      </c>
      <c r="AI10" vm="1246">
        <f ca="1"/>
        <v>200.10499999999999</v>
      </c>
      <c r="AJ10" vm="1247">
        <f ca="1"/>
        <v>196.56</v>
      </c>
      <c r="AK10" vm="1248">
        <f ca="1"/>
        <v>202.5</v>
      </c>
      <c r="AL10" vm="1249">
        <f ca="1"/>
        <v>201.24</v>
      </c>
      <c r="AM10" vm="1250">
        <f ca="1"/>
        <v>188.76</v>
      </c>
      <c r="AN10" vm="1251">
        <f ca="1"/>
        <v>189.36</v>
      </c>
      <c r="AO10" vm="1252">
        <f ca="1"/>
        <v>186.78</v>
      </c>
      <c r="AP10" vm="1253">
        <f ca="1"/>
        <v>188.22</v>
      </c>
      <c r="AQ10" vm="1254">
        <f ca="1"/>
        <v>189.51</v>
      </c>
      <c r="AR10" vm="1255">
        <f ca="1"/>
        <v>188.5</v>
      </c>
      <c r="AS10" vm="1256">
        <f ca="1"/>
        <v>186.18</v>
      </c>
      <c r="AT10" vm="1257">
        <f ca="1"/>
        <v>184.2</v>
      </c>
      <c r="AU10" vm="1258">
        <f ca="1"/>
        <v>181.96</v>
      </c>
      <c r="AV10" vm="1259">
        <f ca="1"/>
        <v>180.74</v>
      </c>
      <c r="AW10" vm="1260">
        <f ca="1"/>
        <v>183.25</v>
      </c>
      <c r="AX10" vm="1261">
        <f ca="1"/>
        <v>179.5</v>
      </c>
      <c r="AY10" vm="1152">
        <f ca="1"/>
        <v>175.51</v>
      </c>
      <c r="AZ10" vm="1262">
        <f ca="1"/>
        <v>172.83</v>
      </c>
      <c r="BA10" vm="1263">
        <f ca="1"/>
        <v>173.42</v>
      </c>
      <c r="BB10" vm="1264">
        <f ca="1"/>
        <v>167.82</v>
      </c>
      <c r="BC10" vm="1265">
        <f ca="1"/>
        <v>170.58</v>
      </c>
      <c r="BD10" vm="1266">
        <f ca="1"/>
        <v>174.19</v>
      </c>
      <c r="BE10" vm="1182">
        <f ca="1"/>
        <v>177.17</v>
      </c>
      <c r="BF10" vm="1267">
        <f ca="1"/>
        <v>177.11</v>
      </c>
      <c r="BG10" vm="1268">
        <f ca="1"/>
        <v>183.51</v>
      </c>
      <c r="BH10" vm="364">
        <f ca="1"/>
        <v>187.7</v>
      </c>
      <c r="BI10" vm="1269">
        <f ca="1"/>
        <v>187.32</v>
      </c>
      <c r="BJ10" vm="364">
        <f ca="1"/>
        <v>187.7</v>
      </c>
      <c r="BK10" vm="1270">
        <f ca="1"/>
        <v>189.3</v>
      </c>
      <c r="BL10" vm="1271">
        <f ca="1"/>
        <v>192.94</v>
      </c>
      <c r="BM10" vm="1272">
        <f ca="1"/>
        <v>185.42</v>
      </c>
      <c r="BN10" vm="1273">
        <f ca="1"/>
        <v>187.42</v>
      </c>
      <c r="BO10" vm="366">
        <f ca="1"/>
        <v>184.42</v>
      </c>
      <c r="BP10" vm="1274">
        <f ca="1"/>
        <v>182.79</v>
      </c>
      <c r="BQ10" vm="1275">
        <f ca="1"/>
        <v>183.4</v>
      </c>
      <c r="BR10" vm="1276">
        <f ca="1"/>
        <v>186.85</v>
      </c>
      <c r="BS10" vm="1277">
        <f ca="1"/>
        <v>187.37</v>
      </c>
      <c r="BT10" vm="1278">
        <f ca="1"/>
        <v>193.94</v>
      </c>
      <c r="BU10" vm="1279">
        <f ca="1"/>
        <v>196.4</v>
      </c>
      <c r="BV10" vm="1280">
        <f ca="1"/>
        <v>195.49</v>
      </c>
      <c r="BW10" vm="1281">
        <f ca="1"/>
        <v>196.73</v>
      </c>
      <c r="BX10" vm="1282">
        <f ca="1"/>
        <v>201.88</v>
      </c>
      <c r="BY10" vm="1283">
        <f ca="1"/>
        <v>200.03</v>
      </c>
      <c r="BZ10" vm="1284">
        <f ca="1"/>
        <v>208.28</v>
      </c>
      <c r="CA10" vm="1285">
        <f ca="1"/>
        <v>205.19</v>
      </c>
      <c r="CB10" vm="1286">
        <f ca="1"/>
        <v>198.81</v>
      </c>
      <c r="CC10" vm="1287">
        <f ca="1"/>
        <v>191.03</v>
      </c>
      <c r="CD10" vm="1288">
        <f ca="1"/>
        <v>190.39</v>
      </c>
      <c r="CE10" vm="1289">
        <f ca="1"/>
        <v>188.01</v>
      </c>
      <c r="CF10" vm="1290">
        <f ca="1"/>
        <v>189.55</v>
      </c>
      <c r="CG10" vm="1291">
        <f ca="1"/>
        <v>187.5</v>
      </c>
      <c r="CH10" vm="1292">
        <f ca="1"/>
        <v>190.43</v>
      </c>
      <c r="CI10" vm="1293">
        <f ca="1"/>
        <v>183.68</v>
      </c>
      <c r="CJ10" vm="1294">
        <f ca="1"/>
        <v>184.38</v>
      </c>
      <c r="CK10" vm="1295">
        <f ca="1"/>
        <v>184.28</v>
      </c>
      <c r="CL10" vm="1296">
        <f ca="1"/>
        <v>179.33</v>
      </c>
      <c r="CM10" vm="1297">
        <f ca="1"/>
        <v>180.93</v>
      </c>
      <c r="CN10" vm="1298">
        <f ca="1"/>
        <v>173.83</v>
      </c>
      <c r="CO10" vm="1299">
        <f ca="1"/>
        <v>178.93</v>
      </c>
      <c r="CP10" vm="1300">
        <f ca="1"/>
        <v>179.48</v>
      </c>
      <c r="CQ10" vm="1301">
        <f ca="1"/>
        <v>176.32</v>
      </c>
      <c r="CR10" vm="1302">
        <f ca="1"/>
        <v>182.34</v>
      </c>
      <c r="CS10" vm="1303">
        <f ca="1"/>
        <v>185</v>
      </c>
      <c r="CT10" vm="1304">
        <f ca="1"/>
        <v>183.1</v>
      </c>
      <c r="CU10" vm="1305">
        <f ca="1"/>
        <v>187.54</v>
      </c>
      <c r="CV10" vm="1306">
        <f ca="1"/>
        <v>184.01</v>
      </c>
      <c r="CW10" vm="1307">
        <f ca="1"/>
        <v>182.32</v>
      </c>
      <c r="CX10" vm="1308">
        <f ca="1"/>
        <v>184.79</v>
      </c>
      <c r="CY10" vm="1309">
        <f ca="1"/>
        <v>189.95</v>
      </c>
      <c r="CZ10" vm="1310">
        <f ca="1"/>
        <v>184.96</v>
      </c>
      <c r="DA10" vm="1311">
        <f ca="1"/>
        <v>174.44</v>
      </c>
      <c r="DB10" vm="1312">
        <f ca="1"/>
        <v>172.76</v>
      </c>
      <c r="DC10" vm="1313">
        <f ca="1"/>
        <v>170.64</v>
      </c>
      <c r="DD10" vm="1314">
        <f ca="1"/>
        <v>171.31</v>
      </c>
      <c r="DE10" vm="360">
        <f ca="1"/>
        <v>173.18</v>
      </c>
      <c r="DF10" vm="1315">
        <f ca="1"/>
        <v>165.17</v>
      </c>
      <c r="DG10" vm="1316">
        <f ca="1"/>
        <v>153.57</v>
      </c>
      <c r="DH10" vm="1317">
        <f ca="1"/>
        <v>152.44</v>
      </c>
      <c r="DI10" vm="1318">
        <f ca="1"/>
        <v>152.53</v>
      </c>
      <c r="DJ10" vm="1319">
        <f ca="1"/>
        <v>173.02</v>
      </c>
      <c r="DK10" vm="1320">
        <f ca="1"/>
        <v>168.27</v>
      </c>
      <c r="DL10" vm="1321">
        <f ca="1"/>
        <v>168.34</v>
      </c>
      <c r="DM10" vm="1322">
        <f ca="1"/>
        <v>169.98</v>
      </c>
      <c r="DN10" vm="1323">
        <f ca="1"/>
        <v>173.55</v>
      </c>
      <c r="DO10" vm="1324">
        <f ca="1"/>
        <v>169.76</v>
      </c>
      <c r="DP10" vm="1325">
        <f ca="1"/>
        <v>167.69</v>
      </c>
      <c r="DQ10" vm="1326">
        <f ca="1"/>
        <v>160.05000000000001</v>
      </c>
      <c r="DR10" vm="1327">
        <f ca="1"/>
        <v>163.63</v>
      </c>
      <c r="DS10" vm="1328">
        <f ca="1"/>
        <v>168.32</v>
      </c>
      <c r="DT10" vm="1329">
        <f ca="1"/>
        <v>176.04</v>
      </c>
      <c r="DU10" vm="1330">
        <f ca="1"/>
        <v>178.98</v>
      </c>
      <c r="DV10" vm="1331">
        <f ca="1"/>
        <v>181.54</v>
      </c>
      <c r="DW10" vm="1332">
        <f ca="1"/>
        <v>186.65</v>
      </c>
      <c r="DX10" vm="1333">
        <f ca="1"/>
        <v>186.93</v>
      </c>
      <c r="DY10" vm="1334">
        <f ca="1"/>
        <v>186.27</v>
      </c>
      <c r="DZ10" vm="364">
        <f ca="1"/>
        <v>187.7</v>
      </c>
      <c r="EA10" vm="1335">
        <f ca="1"/>
        <v>188.13</v>
      </c>
      <c r="EB10" vm="1336">
        <f ca="1"/>
        <v>188.69</v>
      </c>
      <c r="EC10" vm="1337">
        <f ca="1"/>
        <v>188.14</v>
      </c>
      <c r="ED10" vm="1338">
        <f ca="1"/>
        <v>188.53</v>
      </c>
      <c r="EE10" vm="1333">
        <f ca="1"/>
        <v>186.93</v>
      </c>
      <c r="EF10" vm="1228">
        <f ca="1"/>
        <v>193.5</v>
      </c>
      <c r="EG10" vm="1339">
        <f ca="1"/>
        <v>192</v>
      </c>
      <c r="EH10" vm="1340">
        <f ca="1"/>
        <v>190.9</v>
      </c>
      <c r="EI10" vm="1341">
        <f ca="1"/>
        <v>192.9</v>
      </c>
      <c r="EJ10" vm="1342">
        <f ca="1"/>
        <v>192.98</v>
      </c>
      <c r="EK10" vm="1343">
        <f ca="1"/>
        <v>194.3</v>
      </c>
      <c r="EL10" vm="1344">
        <f ca="1"/>
        <v>194.48</v>
      </c>
      <c r="EM10" vm="1345">
        <f ca="1"/>
        <v>181.26</v>
      </c>
      <c r="EN10" vm="1346">
        <f ca="1"/>
        <v>186.14</v>
      </c>
      <c r="EO10" vm="1347">
        <f ca="1"/>
        <v>186.75</v>
      </c>
      <c r="EP10" vm="1348">
        <f ca="1"/>
        <v>187.46</v>
      </c>
      <c r="EQ10" vm="1349">
        <f ca="1"/>
        <v>187.8</v>
      </c>
      <c r="ER10" vm="1350">
        <f ca="1"/>
        <v>185.82</v>
      </c>
      <c r="ES10" vm="1351">
        <f ca="1"/>
        <v>192.42</v>
      </c>
      <c r="ET10" vm="1352">
        <f ca="1"/>
        <v>194.86</v>
      </c>
      <c r="EU10" vm="261">
        <f ca="1"/>
        <v>197.12</v>
      </c>
      <c r="EV10" vm="1353">
        <f ca="1"/>
        <v>194.07</v>
      </c>
      <c r="EW10" vm="1354">
        <f ca="1"/>
        <v>197.11</v>
      </c>
      <c r="EX10" vm="1355">
        <f ca="1"/>
        <v>199.6</v>
      </c>
      <c r="EY10" vm="1356">
        <f ca="1"/>
        <v>196.33</v>
      </c>
      <c r="EZ10" vm="1357">
        <f ca="1"/>
        <v>195.95</v>
      </c>
      <c r="FA10" vm="1358">
        <f ca="1"/>
        <v>194.39</v>
      </c>
      <c r="FB10" vm="1359">
        <f ca="1"/>
        <v>197.67</v>
      </c>
      <c r="FC10" vm="1360">
        <f ca="1"/>
        <v>196.27</v>
      </c>
      <c r="FD10" vm="1361">
        <f ca="1"/>
        <v>198.11</v>
      </c>
      <c r="FE10" vm="1362">
        <f ca="1"/>
        <v>202.05</v>
      </c>
      <c r="FF10" vm="1363">
        <f ca="1"/>
        <v>199.78</v>
      </c>
      <c r="FG10" vm="1364">
        <f ca="1"/>
        <v>199.24</v>
      </c>
      <c r="FH10" vm="1365">
        <f ca="1"/>
        <v>203.32</v>
      </c>
      <c r="FI10" vm="1366">
        <f ca="1"/>
        <v>201.69</v>
      </c>
      <c r="FJ10" vm="1367">
        <f ca="1"/>
        <v>204.3</v>
      </c>
      <c r="FK10" vm="1368">
        <f ca="1"/>
        <v>202.34</v>
      </c>
      <c r="FL10" vm="1369">
        <f ca="1"/>
        <v>200.57</v>
      </c>
      <c r="FM10" vm="1370">
        <f ca="1"/>
        <v>204.64</v>
      </c>
      <c r="FN10" vm="1371">
        <f ca="1"/>
        <v>197.58</v>
      </c>
      <c r="FO10" vm="1372">
        <f ca="1"/>
        <v>196.97</v>
      </c>
      <c r="FP10" vm="1373">
        <f ca="1"/>
        <v>201.82</v>
      </c>
      <c r="FQ10" vm="1374">
        <f ca="1"/>
        <v>201.42</v>
      </c>
      <c r="FR10" vm="1375">
        <f ca="1"/>
        <v>203.99</v>
      </c>
      <c r="FS10" vm="1376">
        <f ca="1"/>
        <v>206.06</v>
      </c>
      <c r="FT10" vm="1377">
        <f ca="1"/>
        <v>192.07</v>
      </c>
      <c r="FU10" vm="365">
        <f ca="1"/>
        <v>187.39</v>
      </c>
      <c r="FV10" vm="1378">
        <f ca="1"/>
        <v>190.72</v>
      </c>
      <c r="FW10" vm="1379">
        <f ca="1"/>
        <v>192.25</v>
      </c>
      <c r="FX10" vm="1380">
        <f ca="1"/>
        <v>192.59</v>
      </c>
      <c r="FY10" vm="1381">
        <f ca="1"/>
        <v>196.28</v>
      </c>
      <c r="FZ10" vm="1382">
        <f ca="1"/>
        <v>195.78</v>
      </c>
      <c r="GA10" vm="1383">
        <f ca="1"/>
        <v>199.88</v>
      </c>
      <c r="GB10" vm="1281">
        <f ca="1"/>
        <v>196.73</v>
      </c>
      <c r="GC10" vm="1384">
        <f ca="1"/>
        <v>199.22</v>
      </c>
      <c r="GD10" vm="1385">
        <f ca="1"/>
        <v>201.16</v>
      </c>
      <c r="GE10" vm="1386">
        <f ca="1"/>
        <v>203.27</v>
      </c>
      <c r="GF10" vm="1387">
        <f ca="1"/>
        <v>204.5</v>
      </c>
      <c r="GG10" vm="1388">
        <f ca="1"/>
        <v>193.84</v>
      </c>
      <c r="GH10" vm="1389">
        <f ca="1"/>
        <v>183.03</v>
      </c>
      <c r="GI10" vm="1390">
        <f ca="1"/>
        <v>173.6</v>
      </c>
      <c r="GJ10" vm="1391">
        <f ca="1"/>
        <v>172.88</v>
      </c>
      <c r="GK10" vm="349">
        <f ca="1"/>
        <v>171</v>
      </c>
      <c r="GL10" vm="1392">
        <f ca="1"/>
        <v>169.09</v>
      </c>
      <c r="GM10" vm="1393">
        <f ca="1"/>
        <v>172.89</v>
      </c>
      <c r="GN10" vm="1394">
        <f ca="1"/>
        <v>168.1</v>
      </c>
      <c r="GO10" vm="1395">
        <f ca="1"/>
        <v>167.06</v>
      </c>
      <c r="GP10" vm="1396">
        <f ca="1"/>
        <v>168.17</v>
      </c>
      <c r="GQ10" vm="1168">
        <f ca="1"/>
        <v>175.4</v>
      </c>
      <c r="GR10" vm="1397">
        <f ca="1"/>
        <v>176.86</v>
      </c>
      <c r="GS10" vm="1323">
        <f ca="1"/>
        <v>173.55</v>
      </c>
      <c r="GT10" vm="1398">
        <f ca="1"/>
        <v>177.09</v>
      </c>
      <c r="GU10" vm="1399">
        <f ca="1"/>
        <v>176.17</v>
      </c>
      <c r="GV10" vm="1400">
        <f ca="1"/>
        <v>181.56</v>
      </c>
      <c r="GW10" vm="1401">
        <f ca="1"/>
        <v>184.43</v>
      </c>
      <c r="GX10" vm="1402">
        <f ca="1"/>
        <v>183.32</v>
      </c>
      <c r="GY10" vm="1403">
        <f ca="1"/>
        <v>185.88</v>
      </c>
      <c r="GZ10" vm="1404">
        <f ca="1"/>
        <v>184.55</v>
      </c>
      <c r="HA10" vm="1405">
        <f ca="1"/>
        <v>184.23</v>
      </c>
      <c r="HB10" vm="1406">
        <f ca="1"/>
        <v>187.61</v>
      </c>
      <c r="HC10" vm="1407">
        <f ca="1"/>
        <v>191.02</v>
      </c>
      <c r="HD10" vm="1408">
        <f ca="1"/>
        <v>190.52</v>
      </c>
      <c r="HE10" vm="1408">
        <f ca="1"/>
        <v>190.52</v>
      </c>
      <c r="HF10" vm="1409">
        <f ca="1"/>
        <v>191.53</v>
      </c>
      <c r="HG10" vm="1410">
        <f ca="1"/>
        <v>192.35</v>
      </c>
      <c r="HH10" vm="1411">
        <f ca="1"/>
        <v>194.46</v>
      </c>
      <c r="HI10" vm="1412">
        <f ca="1"/>
        <v>197.38</v>
      </c>
      <c r="HJ10" vm="1413">
        <f ca="1"/>
        <v>197.55</v>
      </c>
      <c r="HK10" vm="1414">
        <f ca="1"/>
        <v>197.33</v>
      </c>
      <c r="HL10" vm="1415">
        <f ca="1"/>
        <v>198.33</v>
      </c>
      <c r="HM10" vm="1416">
        <f ca="1"/>
        <v>196.29</v>
      </c>
      <c r="HN10" vm="1417">
        <f ca="1"/>
        <v>201.28</v>
      </c>
      <c r="HO10" vm="1418">
        <f ca="1"/>
        <v>201.34</v>
      </c>
      <c r="HP10" vm="1419">
        <f ca="1"/>
        <v>203.12</v>
      </c>
      <c r="HQ10" vm="1420">
        <f ca="1"/>
        <v>205.68</v>
      </c>
      <c r="HR10" vm="1421">
        <f ca="1"/>
        <v>208.19</v>
      </c>
      <c r="HS10" vm="1422">
        <f ca="1"/>
        <v>208.18</v>
      </c>
      <c r="HT10" vm="1423">
        <f ca="1"/>
        <v>203.25</v>
      </c>
      <c r="HU10" vm="328">
        <f ca="1"/>
        <v>200.7</v>
      </c>
      <c r="HV10" vm="1424">
        <f ca="1"/>
        <v>202.21</v>
      </c>
      <c r="HW10" vm="1425">
        <f ca="1"/>
        <v>202.37</v>
      </c>
      <c r="HX10" vm="1426">
        <f ca="1"/>
        <v>203.96</v>
      </c>
      <c r="HY10" vm="1427">
        <f ca="1"/>
        <v>203.62</v>
      </c>
      <c r="HZ10" vm="1428">
        <f ca="1"/>
        <v>206.8</v>
      </c>
      <c r="IA10" vm="1429">
        <f ca="1"/>
        <v>209.3</v>
      </c>
      <c r="IB10" vm="1430">
        <f ca="1"/>
        <v>207.19</v>
      </c>
      <c r="IC10" vm="1431">
        <f ca="1"/>
        <v>212.58</v>
      </c>
      <c r="ID10" vm="1432">
        <f ca="1"/>
        <v>211.04</v>
      </c>
      <c r="IE10" vm="1433">
        <f ca="1"/>
        <v>217.79</v>
      </c>
      <c r="IF10" vm="1434">
        <f ca="1"/>
        <v>215.17</v>
      </c>
      <c r="IG10" vm="1435">
        <f ca="1"/>
        <v>208.55</v>
      </c>
      <c r="IH10" vm="1436">
        <f ca="1"/>
        <v>213.28</v>
      </c>
      <c r="II10" vm="1437">
        <f ca="1"/>
        <v>207.56</v>
      </c>
      <c r="IJ10" vm="1438">
        <f ca="1"/>
        <v>206.7</v>
      </c>
      <c r="IK10" vm="1439">
        <f ca="1"/>
        <v>205.51</v>
      </c>
      <c r="IL10" vm="265">
        <f ca="1"/>
        <v>207.89</v>
      </c>
      <c r="IM10" vm="1440">
        <f ca="1"/>
        <v>211.82</v>
      </c>
      <c r="IN10" vm="1441">
        <f ca="1"/>
        <v>214.4</v>
      </c>
      <c r="IO10" vm="1442">
        <f ca="1"/>
        <v>212.42</v>
      </c>
      <c r="IP10" vm="1443">
        <f ca="1"/>
        <v>215.02</v>
      </c>
      <c r="IQ10" vm="1444">
        <f ca="1"/>
        <v>217.11</v>
      </c>
      <c r="IR10" vm="1445">
        <f ca="1"/>
        <v>220.29</v>
      </c>
      <c r="IS10" vm="1446">
        <f ca="1"/>
        <v>221.38</v>
      </c>
      <c r="IT10" vm="1447">
        <f ca="1"/>
        <v>217.16</v>
      </c>
      <c r="IU10" vm="1448">
        <f ca="1"/>
        <v>218.27</v>
      </c>
      <c r="IV10" vm="1449">
        <f ca="1"/>
        <v>220.24</v>
      </c>
      <c r="IW10" vm="1450">
        <f ca="1"/>
        <v>219.23</v>
      </c>
      <c r="IX10" vm="1451">
        <f ca="1"/>
        <v>214.52</v>
      </c>
      <c r="IY10" vm="1452">
        <f ca="1"/>
        <v>213.18</v>
      </c>
      <c r="IZ10" vm="375">
        <f ca="1"/>
        <v>211.37</v>
      </c>
      <c r="JA10" vm="1453">
        <f ca="1"/>
        <v>212.285</v>
      </c>
    </row>
    <row r="11" spans="1:266" ht="20" customHeight="1" x14ac:dyDescent="0.2">
      <c r="B11" t="e" vm="1454">
        <v>#VALUE!</v>
      </c>
      <c r="C11" t="str">
        <f ca="1"/>
        <v>Software &amp; IT Services</v>
      </c>
      <c r="D11" t="str">
        <f ca="1"/>
        <v>USD</v>
      </c>
      <c r="E11">
        <v>1.9</v>
      </c>
      <c r="F11">
        <f ca="1"/>
        <v>232</v>
      </c>
      <c r="G11">
        <f ca="1"/>
        <v>440.79999999999995</v>
      </c>
      <c r="H11" s="11" cm="1">
        <f t="array" aca="1" ref="H11" ca="1">(F11-IF(C11="USD",_FV( B11,"Clôture précédente",TRUE)*$K$4,_FV( B11,"Clôture précédente",TRUE)))*E11</f>
        <v>-38.760000000000012</v>
      </c>
      <c r="I11" s="8" cm="1">
        <f t="array" aca="1" ref="I11" ca="1">(F11-_FV(B11,"Clôture précédente",TRUE))/_FV(B11,"Clôture précédente",TRUE)</f>
        <v>-8.0824088748019038E-2</v>
      </c>
      <c r="J11" s="12">
        <f ca="1"/>
        <v>62.769999999999982</v>
      </c>
      <c r="M11" cm="1" vm="1455">
        <f t="array" aca="1" ref="M11:JA11" ca="1">TRANSPOSE(_xlfn.STOCKHISTORY(B11,TODAY()-365,TODAY(),0,0,1))</f>
        <v>179.39</v>
      </c>
      <c r="N11" vm="1456">
        <f ca="1"/>
        <v>180.55</v>
      </c>
      <c r="O11" vm="1457">
        <f ca="1"/>
        <v>181.87</v>
      </c>
      <c r="P11" vm="1458">
        <f ca="1"/>
        <v>181.48</v>
      </c>
      <c r="Q11" vm="1459">
        <f ca="1"/>
        <v>177.62</v>
      </c>
      <c r="R11" vm="1460">
        <f ca="1"/>
        <v>182.93</v>
      </c>
      <c r="S11" vm="1461">
        <f ca="1"/>
        <v>186.01</v>
      </c>
      <c r="T11" vm="1462">
        <f ca="1"/>
        <v>185.5</v>
      </c>
      <c r="U11" vm="1195">
        <f ca="1"/>
        <v>186.58</v>
      </c>
      <c r="V11" vm="1222">
        <f ca="1"/>
        <v>188.15</v>
      </c>
      <c r="W11" vm="1198">
        <f ca="1"/>
        <v>187.62</v>
      </c>
      <c r="X11" vm="1463">
        <f ca="1"/>
        <v>187.85</v>
      </c>
      <c r="Y11" vm="1464">
        <f ca="1"/>
        <v>185.56</v>
      </c>
      <c r="Z11" vm="1465">
        <f ca="1"/>
        <v>188.38</v>
      </c>
      <c r="AA11" vm="1466">
        <f ca="1"/>
        <v>187.95</v>
      </c>
      <c r="AB11" vm="1467">
        <f ca="1"/>
        <v>188.06</v>
      </c>
      <c r="AC11" vm="1468">
        <f ca="1"/>
        <v>188.2</v>
      </c>
      <c r="AD11" vm="1469">
        <f ca="1"/>
        <v>190.03</v>
      </c>
      <c r="AE11" vm="1470">
        <f ca="1"/>
        <v>189.71</v>
      </c>
      <c r="AF11" vm="1471">
        <f ca="1"/>
        <v>187.9</v>
      </c>
      <c r="AG11" vm="1472">
        <f ca="1"/>
        <v>185.36</v>
      </c>
      <c r="AH11" vm="1473">
        <f ca="1"/>
        <v>190.46</v>
      </c>
      <c r="AI11" vm="1474">
        <f ca="1"/>
        <v>189.64</v>
      </c>
      <c r="AJ11" vm="1475">
        <f ca="1"/>
        <v>185.48</v>
      </c>
      <c r="AK11" vm="1476">
        <f ca="1"/>
        <v>187.18</v>
      </c>
      <c r="AL11" vm="1477">
        <f ca="1"/>
        <v>185.93</v>
      </c>
      <c r="AM11" vm="1478">
        <f ca="1"/>
        <v>181.9</v>
      </c>
      <c r="AN11" vm="1479">
        <f ca="1"/>
        <v>181.38</v>
      </c>
      <c r="AO11" vm="1480">
        <f ca="1"/>
        <v>181.97</v>
      </c>
      <c r="AP11" vm="1207">
        <f ca="1"/>
        <v>183.22</v>
      </c>
      <c r="AQ11" vm="1481">
        <f ca="1"/>
        <v>185.39</v>
      </c>
      <c r="AR11" vm="1482">
        <f ca="1"/>
        <v>187.16</v>
      </c>
      <c r="AS11" vm="1483">
        <f ca="1"/>
        <v>186.43</v>
      </c>
      <c r="AT11" vm="1484">
        <f ca="1"/>
        <v>184.54</v>
      </c>
      <c r="AU11" vm="1485">
        <f ca="1"/>
        <v>184.08</v>
      </c>
      <c r="AV11" vm="1486">
        <f ca="1"/>
        <v>183.07</v>
      </c>
      <c r="AW11" vm="1487">
        <f ca="1"/>
        <v>188.75</v>
      </c>
      <c r="AX11" vm="1488">
        <f ca="1"/>
        <v>188.98</v>
      </c>
      <c r="AY11" vm="1489">
        <f ca="1"/>
        <v>181.75</v>
      </c>
      <c r="AZ11" vm="1490">
        <f ca="1"/>
        <v>183.74</v>
      </c>
      <c r="BA11" vm="1491">
        <f ca="1"/>
        <v>178.61</v>
      </c>
      <c r="BB11" vm="1492">
        <f ca="1"/>
        <v>178.76</v>
      </c>
      <c r="BC11" vm="1204">
        <f ca="1"/>
        <v>180.03</v>
      </c>
      <c r="BD11" vm="1493">
        <f ca="1"/>
        <v>181.32</v>
      </c>
      <c r="BE11" vm="1494">
        <f ca="1"/>
        <v>183.37</v>
      </c>
      <c r="BF11" vm="1495">
        <f ca="1"/>
        <v>186.41</v>
      </c>
      <c r="BG11" vm="1496">
        <f ca="1"/>
        <v>185.14</v>
      </c>
      <c r="BH11" vm="1497">
        <f ca="1"/>
        <v>187.99</v>
      </c>
      <c r="BI11" vm="1498">
        <f ca="1"/>
        <v>183.82</v>
      </c>
      <c r="BJ11" vm="1499">
        <f ca="1"/>
        <v>185.49</v>
      </c>
      <c r="BK11" vm="1500">
        <f ca="1"/>
        <v>187.87</v>
      </c>
      <c r="BL11" vm="1501">
        <f ca="1"/>
        <v>187.14</v>
      </c>
      <c r="BM11" vm="1502">
        <f ca="1"/>
        <v>190.09</v>
      </c>
      <c r="BN11" vm="1503">
        <f ca="1"/>
        <v>191.23</v>
      </c>
      <c r="BO11" vm="1504">
        <f ca="1"/>
        <v>185.51</v>
      </c>
      <c r="BP11" vm="1505">
        <f ca="1"/>
        <v>186.07</v>
      </c>
      <c r="BQ11" vm="1506">
        <f ca="1"/>
        <v>183.54</v>
      </c>
      <c r="BR11" vm="1507">
        <f ca="1"/>
        <v>184.92</v>
      </c>
      <c r="BS11" vm="1508">
        <f ca="1"/>
        <v>183.08</v>
      </c>
      <c r="BT11" vm="1509">
        <f ca="1"/>
        <v>208.77</v>
      </c>
      <c r="BU11" vm="1510">
        <f ca="1"/>
        <v>212.51</v>
      </c>
      <c r="BV11" vm="1511">
        <f ca="1"/>
        <v>209.94</v>
      </c>
      <c r="BW11" vm="1512">
        <f ca="1"/>
        <v>209.18</v>
      </c>
      <c r="BX11" vm="1513">
        <f ca="1"/>
        <v>210.09</v>
      </c>
      <c r="BY11" vm="1514">
        <f ca="1"/>
        <v>208.76</v>
      </c>
      <c r="BZ11" vm="1515">
        <f ca="1"/>
        <v>216.38</v>
      </c>
      <c r="CA11" vm="1516">
        <f ca="1"/>
        <v>215.18</v>
      </c>
      <c r="CB11" vm="1517">
        <f ca="1"/>
        <v>215.24</v>
      </c>
      <c r="CC11" vm="429">
        <f ca="1"/>
        <v>211.65</v>
      </c>
      <c r="CD11" vm="1518">
        <f ca="1"/>
        <v>212.02</v>
      </c>
      <c r="CE11" vm="390">
        <f ca="1"/>
        <v>207.91</v>
      </c>
      <c r="CF11" vm="1519">
        <f ca="1"/>
        <v>209.11</v>
      </c>
      <c r="CG11" vm="1520">
        <f ca="1"/>
        <v>208.21</v>
      </c>
      <c r="CH11" vm="1521">
        <f ca="1"/>
        <v>211.98</v>
      </c>
      <c r="CI11" vm="1522">
        <f ca="1"/>
        <v>208.05</v>
      </c>
      <c r="CJ11" vm="1435">
        <f ca="1"/>
        <v>208.55</v>
      </c>
      <c r="CK11" vm="1523">
        <f ca="1"/>
        <v>214.81</v>
      </c>
      <c r="CL11" vm="1524">
        <f ca="1"/>
        <v>207.87</v>
      </c>
      <c r="CM11" vm="1525">
        <f ca="1"/>
        <v>204.33</v>
      </c>
      <c r="CN11" vm="1526">
        <f ca="1"/>
        <v>201.93</v>
      </c>
      <c r="CO11" vm="326">
        <f ca="1"/>
        <v>203.8</v>
      </c>
      <c r="CP11" vm="1527">
        <f ca="1"/>
        <v>205.33</v>
      </c>
      <c r="CQ11" vm="1528">
        <f ca="1"/>
        <v>203.63</v>
      </c>
      <c r="CR11" vm="1529">
        <f ca="1"/>
        <v>204.57</v>
      </c>
      <c r="CS11" vm="1530">
        <f ca="1"/>
        <v>206.5</v>
      </c>
      <c r="CT11" vm="1531">
        <f ca="1"/>
        <v>204.32</v>
      </c>
      <c r="CU11" vm="1532">
        <f ca="1"/>
        <v>208.86</v>
      </c>
      <c r="CV11" vm="1533">
        <f ca="1"/>
        <v>209.63</v>
      </c>
      <c r="CW11" vm="1534">
        <f ca="1"/>
        <v>213.47</v>
      </c>
      <c r="CX11" vm="1535">
        <f ca="1"/>
        <v>213.51</v>
      </c>
      <c r="CY11" vm="484">
        <f ca="1"/>
        <v>217.95</v>
      </c>
      <c r="CZ11" vm="1536">
        <f ca="1"/>
        <v>215.89</v>
      </c>
      <c r="DA11" vm="1537">
        <f ca="1"/>
        <v>214.29</v>
      </c>
      <c r="DB11" vm="1538">
        <f ca="1"/>
        <v>210.47</v>
      </c>
      <c r="DC11" vm="1539">
        <f ca="1"/>
        <v>207.25</v>
      </c>
      <c r="DD11" vm="1540">
        <f ca="1"/>
        <v>210.13</v>
      </c>
      <c r="DE11" vm="1541">
        <f ca="1"/>
        <v>211.1</v>
      </c>
      <c r="DF11" vm="1542">
        <f ca="1"/>
        <v>208.93</v>
      </c>
      <c r="DG11" vm="1543">
        <f ca="1"/>
        <v>194.58</v>
      </c>
      <c r="DH11" vm="1544">
        <f ca="1"/>
        <v>197.53</v>
      </c>
      <c r="DI11" vm="1545">
        <f ca="1"/>
        <v>196.25</v>
      </c>
      <c r="DJ11" vm="1546">
        <f ca="1"/>
        <v>208.13</v>
      </c>
      <c r="DK11" vm="1547">
        <f ca="1"/>
        <v>204.41</v>
      </c>
      <c r="DL11" vm="1548">
        <f ca="1"/>
        <v>212.07</v>
      </c>
      <c r="DM11" vm="1549">
        <f ca="1"/>
        <v>212.95</v>
      </c>
      <c r="DN11" vm="1550">
        <f ca="1"/>
        <v>214.6</v>
      </c>
      <c r="DO11" vm="1551">
        <f ca="1"/>
        <v>211.4</v>
      </c>
      <c r="DP11" vm="402">
        <f ca="1"/>
        <v>212.77</v>
      </c>
      <c r="DQ11" vm="1552">
        <f ca="1"/>
        <v>205.16</v>
      </c>
      <c r="DR11" vm="1553">
        <f ca="1"/>
        <v>209.97</v>
      </c>
      <c r="DS11" vm="1554">
        <f ca="1"/>
        <v>213.3</v>
      </c>
      <c r="DT11" vm="433">
        <f ca="1"/>
        <v>222.69</v>
      </c>
      <c r="DU11" vm="1555">
        <f ca="1"/>
        <v>225.38</v>
      </c>
      <c r="DV11" vm="1556">
        <f ca="1"/>
        <v>225.55</v>
      </c>
      <c r="DW11" vm="298">
        <f ca="1"/>
        <v>230.71</v>
      </c>
      <c r="DX11" vm="1557">
        <f ca="1"/>
        <v>233.32</v>
      </c>
      <c r="DY11" vm="1558">
        <f ca="1"/>
        <v>235.17</v>
      </c>
      <c r="DZ11" vm="1559">
        <f ca="1"/>
        <v>219.5</v>
      </c>
      <c r="EA11" vm="1560">
        <f ca="1"/>
        <v>225.32</v>
      </c>
      <c r="EB11" vm="1561">
        <f ca="1"/>
        <v>231.84</v>
      </c>
      <c r="EC11" vm="1562">
        <f ca="1"/>
        <v>226.34</v>
      </c>
      <c r="ED11" vm="1563">
        <f ca="1"/>
        <v>225.45</v>
      </c>
      <c r="EE11" vm="1564">
        <f ca="1"/>
        <v>226.55</v>
      </c>
      <c r="EF11" vm="1565">
        <f ca="1"/>
        <v>226.25</v>
      </c>
      <c r="EG11" vm="1566">
        <f ca="1"/>
        <v>226.16</v>
      </c>
      <c r="EH11" vm="1567">
        <f ca="1"/>
        <v>229.5</v>
      </c>
      <c r="EI11" vm="1568">
        <f ca="1"/>
        <v>232.34</v>
      </c>
      <c r="EJ11" vm="1569">
        <f ca="1"/>
        <v>226.74</v>
      </c>
      <c r="EK11" vm="1570">
        <f ca="1"/>
        <v>234.66</v>
      </c>
      <c r="EL11" vm="1571">
        <f ca="1"/>
        <v>237.5</v>
      </c>
      <c r="EM11" vm="1572">
        <f ca="1"/>
        <v>226.76</v>
      </c>
      <c r="EN11" vm="1573">
        <f ca="1"/>
        <v>226.01</v>
      </c>
      <c r="EO11" vm="1574">
        <f ca="1"/>
        <v>224.99</v>
      </c>
      <c r="EP11" vm="1575">
        <f ca="1"/>
        <v>226.27</v>
      </c>
      <c r="EQ11" vm="1576">
        <f ca="1"/>
        <v>228.33</v>
      </c>
      <c r="ER11" vm="1577">
        <f ca="1"/>
        <v>225.39</v>
      </c>
      <c r="ES11" vm="1578">
        <f ca="1"/>
        <v>226.28</v>
      </c>
      <c r="ET11" vm="1579">
        <f ca="1"/>
        <v>227.6</v>
      </c>
      <c r="EU11" vm="1580">
        <f ca="1"/>
        <v>229.65</v>
      </c>
      <c r="EV11" vm="1581">
        <f ca="1"/>
        <v>229.18</v>
      </c>
      <c r="EW11" vm="437">
        <f ca="1"/>
        <v>231.03</v>
      </c>
      <c r="EX11" vm="1582">
        <f ca="1"/>
        <v>232.72</v>
      </c>
      <c r="EY11" vm="1583">
        <f ca="1"/>
        <v>233.5</v>
      </c>
      <c r="EZ11" vm="1584">
        <f ca="1"/>
        <v>234.91</v>
      </c>
      <c r="FA11" vm="1585">
        <f ca="1"/>
        <v>234.74</v>
      </c>
      <c r="FB11" vm="1586">
        <f ca="1"/>
        <v>234.46</v>
      </c>
      <c r="FC11" vm="1587">
        <f ca="1"/>
        <v>230.23</v>
      </c>
      <c r="FD11" vm="1588">
        <f ca="1"/>
        <v>238.6</v>
      </c>
      <c r="FE11" vm="1589">
        <f ca="1"/>
        <v>237.52</v>
      </c>
      <c r="FF11" vm="1590">
        <f ca="1"/>
        <v>238.5</v>
      </c>
      <c r="FG11" vm="1591">
        <f ca="1"/>
        <v>238.37</v>
      </c>
      <c r="FH11" vm="1592">
        <f ca="1"/>
        <v>241.59</v>
      </c>
      <c r="FI11" vm="1593">
        <f ca="1"/>
        <v>243.05</v>
      </c>
      <c r="FJ11" vm="1594">
        <f ca="1"/>
        <v>241.64</v>
      </c>
      <c r="FK11" vm="1595">
        <f ca="1"/>
        <v>239.33</v>
      </c>
      <c r="FL11" vm="1596">
        <f ca="1"/>
        <v>241.44</v>
      </c>
      <c r="FM11" vm="1597">
        <f ca="1"/>
        <v>242.85</v>
      </c>
      <c r="FN11" vm="1598">
        <f ca="1"/>
        <v>240.1</v>
      </c>
      <c r="FO11" vm="1599">
        <f ca="1"/>
        <v>239.51</v>
      </c>
      <c r="FP11" vm="1600">
        <f ca="1"/>
        <v>240.11</v>
      </c>
      <c r="FQ11" vm="1601">
        <f ca="1"/>
        <v>242.53</v>
      </c>
      <c r="FR11" vm="1602">
        <f ca="1"/>
        <v>240.56</v>
      </c>
      <c r="FS11" vm="1603">
        <f ca="1"/>
        <v>242.23</v>
      </c>
      <c r="FT11" vm="1604">
        <f ca="1"/>
        <v>235.33</v>
      </c>
      <c r="FU11" vm="1605">
        <f ca="1"/>
        <v>233.92</v>
      </c>
      <c r="FV11" vm="1606">
        <f ca="1"/>
        <v>238.46</v>
      </c>
      <c r="FW11" vm="1607">
        <f ca="1"/>
        <v>237.7</v>
      </c>
      <c r="FX11" vm="1608">
        <f ca="1"/>
        <v>238.73</v>
      </c>
      <c r="FY11" vm="1605">
        <f ca="1"/>
        <v>233.92</v>
      </c>
      <c r="FZ11" vm="1609">
        <f ca="1"/>
        <v>231.18</v>
      </c>
      <c r="GA11" vm="1610">
        <f ca="1"/>
        <v>231.63</v>
      </c>
      <c r="GB11" vm="1611">
        <f ca="1"/>
        <v>231.07</v>
      </c>
      <c r="GC11" vm="1612">
        <f ca="1"/>
        <v>228.73</v>
      </c>
      <c r="GD11" vm="1613">
        <f ca="1"/>
        <v>225.75</v>
      </c>
      <c r="GE11" vm="1614">
        <f ca="1"/>
        <v>224.75</v>
      </c>
      <c r="GF11" vm="1615">
        <f ca="1"/>
        <v>226.1</v>
      </c>
      <c r="GG11" vm="1616">
        <f ca="1"/>
        <v>223.98</v>
      </c>
      <c r="GH11" vm="440">
        <f ca="1"/>
        <v>223.81</v>
      </c>
      <c r="GI11" vm="1617">
        <f ca="1"/>
        <v>222.73</v>
      </c>
      <c r="GJ11" vm="1618">
        <f ca="1"/>
        <v>220.58</v>
      </c>
      <c r="GK11" vm="449">
        <f ca="1"/>
        <v>225.99</v>
      </c>
      <c r="GL11" vm="1619">
        <f ca="1"/>
        <v>225.92</v>
      </c>
      <c r="GM11" vm="1620">
        <f ca="1"/>
        <v>227.21</v>
      </c>
      <c r="GN11" vm="1621">
        <f ca="1"/>
        <v>226.49</v>
      </c>
      <c r="GO11" vm="1622">
        <f ca="1"/>
        <v>217.37</v>
      </c>
      <c r="GP11" vm="1623">
        <f ca="1"/>
        <v>222.67</v>
      </c>
      <c r="GQ11" vm="1624">
        <f ca="1"/>
        <v>232.56</v>
      </c>
      <c r="GR11" vm="1625">
        <f ca="1"/>
        <v>236.14</v>
      </c>
      <c r="GS11" vm="1626">
        <f ca="1"/>
        <v>233.16</v>
      </c>
      <c r="GT11" vm="1627">
        <f ca="1"/>
        <v>232.18</v>
      </c>
      <c r="GU11" vm="1628">
        <f ca="1"/>
        <v>232.55</v>
      </c>
      <c r="GV11" vm="1629">
        <f ca="1"/>
        <v>228.36</v>
      </c>
      <c r="GW11" vm="1630">
        <f ca="1"/>
        <v>228.67</v>
      </c>
      <c r="GX11" vm="1631">
        <f ca="1"/>
        <v>227.87</v>
      </c>
      <c r="GY11" vm="1632">
        <f ca="1"/>
        <v>229.03</v>
      </c>
      <c r="GZ11" vm="1633">
        <f ca="1"/>
        <v>231.83</v>
      </c>
      <c r="HA11" vm="1634">
        <f ca="1"/>
        <v>230.82</v>
      </c>
      <c r="HB11" vm="1635">
        <f ca="1"/>
        <v>232.03</v>
      </c>
      <c r="HC11" vm="1636">
        <f ca="1"/>
        <v>234.9</v>
      </c>
      <c r="HD11" vm="1637">
        <f ca="1"/>
        <v>233.27</v>
      </c>
      <c r="HE11" vm="1638">
        <f ca="1"/>
        <v>240.95</v>
      </c>
      <c r="HF11" vm="1639">
        <f ca="1"/>
        <v>238.86</v>
      </c>
      <c r="HG11" vm="1640">
        <f ca="1"/>
        <v>240.65</v>
      </c>
      <c r="HH11" vm="1641">
        <f ca="1"/>
        <v>239.68</v>
      </c>
      <c r="HI11" vm="1642">
        <f ca="1"/>
        <v>248.78</v>
      </c>
      <c r="HJ11" vm="1643">
        <f ca="1"/>
        <v>247.86</v>
      </c>
      <c r="HK11" vm="1644">
        <f ca="1"/>
        <v>244.04</v>
      </c>
      <c r="HL11" vm="1645">
        <f ca="1"/>
        <v>246.54</v>
      </c>
      <c r="HM11" vm="1646">
        <f ca="1"/>
        <v>246.26</v>
      </c>
      <c r="HN11" vm="1647">
        <f ca="1"/>
        <v>247.25</v>
      </c>
      <c r="HO11" vm="1648">
        <f ca="1"/>
        <v>247.73</v>
      </c>
      <c r="HP11" vm="1649">
        <f ca="1"/>
        <v>250.52</v>
      </c>
      <c r="HQ11" vm="1650">
        <f ca="1"/>
        <v>249.74</v>
      </c>
      <c r="HR11" vm="1651">
        <f ca="1"/>
        <v>250.85</v>
      </c>
      <c r="HS11" vm="1652">
        <f ca="1"/>
        <v>251.64</v>
      </c>
      <c r="HT11" vm="1653">
        <f ca="1"/>
        <v>251.28</v>
      </c>
      <c r="HU11" vm="1654">
        <f ca="1"/>
        <v>244.12</v>
      </c>
      <c r="HV11" vm="1655">
        <f ca="1"/>
        <v>245.11</v>
      </c>
      <c r="HW11" vm="1656">
        <f ca="1"/>
        <v>256.12</v>
      </c>
      <c r="HX11" vm="1657">
        <f ca="1"/>
        <v>259.95999999999998</v>
      </c>
      <c r="HY11" vm="1658">
        <f ca="1"/>
        <v>258.36</v>
      </c>
      <c r="HZ11" vm="1659">
        <f ca="1"/>
        <v>255.4</v>
      </c>
      <c r="IA11" vm="1660">
        <f ca="1"/>
        <v>256.94</v>
      </c>
      <c r="IB11" vm="1661">
        <f ca="1"/>
        <v>257.68</v>
      </c>
      <c r="IC11" vm="1662">
        <f ca="1"/>
        <v>256.98</v>
      </c>
      <c r="ID11" vm="1663">
        <f ca="1"/>
        <v>260.5</v>
      </c>
      <c r="IE11" vm="1664">
        <f ca="1"/>
        <v>258.07</v>
      </c>
      <c r="IF11" vm="1665">
        <f ca="1"/>
        <v>256.69</v>
      </c>
      <c r="IG11" vm="1666">
        <f ca="1"/>
        <v>251.97</v>
      </c>
      <c r="IH11" vm="1667">
        <f ca="1"/>
        <v>256.68</v>
      </c>
      <c r="II11" vm="1668">
        <f ca="1"/>
        <v>257.72000000000003</v>
      </c>
      <c r="IJ11" vm="1669">
        <f ca="1"/>
        <v>261.5</v>
      </c>
      <c r="IK11" vm="1670">
        <f ca="1"/>
        <v>259.23</v>
      </c>
      <c r="IL11" vm="1671">
        <f ca="1"/>
        <v>261.35000000000002</v>
      </c>
      <c r="IM11" vm="1672">
        <f ca="1"/>
        <v>262.29000000000002</v>
      </c>
      <c r="IN11" vm="1673">
        <f ca="1"/>
        <v>260.27999999999997</v>
      </c>
      <c r="IO11" vm="1674">
        <f ca="1"/>
        <v>255.56</v>
      </c>
      <c r="IP11" vm="1675">
        <f ca="1"/>
        <v>254.53</v>
      </c>
      <c r="IQ11" vm="1676">
        <f ca="1"/>
        <v>255.12</v>
      </c>
      <c r="IR11" vm="1677">
        <f ca="1"/>
        <v>254.27</v>
      </c>
      <c r="IS11" vm="1678">
        <f ca="1"/>
        <v>251.57</v>
      </c>
      <c r="IT11" vm="1679">
        <f ca="1"/>
        <v>251.73</v>
      </c>
      <c r="IU11" vm="1680">
        <f ca="1"/>
        <v>252.78</v>
      </c>
      <c r="IV11" vm="1681">
        <f ca="1"/>
        <v>256.37</v>
      </c>
      <c r="IW11" vm="1682">
        <f ca="1"/>
        <v>255.65</v>
      </c>
      <c r="IX11" vm="1683">
        <f ca="1"/>
        <v>252.43</v>
      </c>
      <c r="IY11" vm="1684">
        <f ca="1"/>
        <v>254.76</v>
      </c>
      <c r="IZ11" vm="1685">
        <f ca="1"/>
        <v>252.4</v>
      </c>
      <c r="JA11" vm="1686">
        <f ca="1"/>
        <v>232</v>
      </c>
    </row>
    <row r="12" spans="1:266" ht="20" customHeight="1" x14ac:dyDescent="0.2">
      <c r="H12" s="11"/>
      <c r="I12" s="8"/>
      <c r="J12" s="12"/>
      <c r="M12" t="e" cm="1">
        <f t="array" aca="1" ref="M12" ca="1">TRANSPOSE(_xlfn.STOCKHISTORY(B12,TODAY()-365,TODAY(),0,0,1))</f>
        <v>#VALUE!</v>
      </c>
    </row>
    <row r="13" spans="1:266" ht="20" customHeight="1" x14ac:dyDescent="0.2">
      <c r="H13" s="7"/>
    </row>
    <row r="14" spans="1:266" x14ac:dyDescent="0.2">
      <c r="B14" s="21" t="s">
        <v>25</v>
      </c>
      <c r="C14" s="20"/>
      <c r="D14" s="20"/>
      <c r="E14" s="20"/>
      <c r="F14" s="20"/>
      <c r="G14" s="20"/>
      <c r="H14" s="20"/>
      <c r="I14" s="20"/>
      <c r="J14" s="20" t="s">
        <v>19</v>
      </c>
      <c r="K14" s="20"/>
    </row>
    <row r="15" spans="1:266" x14ac:dyDescent="0.2">
      <c r="B15" s="6" t="s">
        <v>14</v>
      </c>
      <c r="C15" s="6" t="s">
        <v>16</v>
      </c>
      <c r="D15" s="6"/>
      <c r="E15" s="6"/>
      <c r="F15" s="6"/>
      <c r="G15" s="6"/>
      <c r="H15" s="6"/>
      <c r="I15" s="6"/>
      <c r="J15" s="6"/>
      <c r="K15" s="6"/>
      <c r="N15" t="s">
        <v>19</v>
      </c>
    </row>
    <row r="16" spans="1:266" ht="30" customHeight="1" x14ac:dyDescent="0.2">
      <c r="B16" t="str" cm="1">
        <f t="array" aca="1" ref="B16:B20" ca="1">_xlfn.UNIQUE(_xlfn.ANCHORARRAY(C6))</f>
        <v>Diversified Retail</v>
      </c>
      <c r="C16" s="9" cm="1">
        <f t="array" aca="1" ref="C16:C20" ca="1">SUMIF(_xlfn.ANCHORARRAY(C6),_xlfn.ANCHORARRAY(B16),_xlfn.ANCHORARRAY(G6))</f>
        <v>51.326099999999997</v>
      </c>
    </row>
    <row r="17" spans="2:3" ht="30" customHeight="1" x14ac:dyDescent="0.2">
      <c r="B17" t="str">
        <f ca="1"/>
        <v>Banking Services</v>
      </c>
      <c r="C17" s="9">
        <f ca="1"/>
        <v>67.5</v>
      </c>
    </row>
    <row r="18" spans="2:3" ht="30" customHeight="1" x14ac:dyDescent="0.2">
      <c r="B18" t="str">
        <f ca="1"/>
        <v>ETF</v>
      </c>
      <c r="C18" s="9">
        <f ca="1"/>
        <v>451.92959999999999</v>
      </c>
    </row>
    <row r="19" spans="2:3" ht="30" customHeight="1" x14ac:dyDescent="0.2">
      <c r="B19" t="str">
        <f ca="1"/>
        <v>Semiconductors &amp; Semiconductor Equipment</v>
      </c>
      <c r="C19" s="9">
        <f ca="1"/>
        <v>188.14999999999998</v>
      </c>
    </row>
    <row r="20" spans="2:3" ht="30" customHeight="1" x14ac:dyDescent="0.2">
      <c r="B20" t="str">
        <f ca="1"/>
        <v>Software &amp; IT Services</v>
      </c>
      <c r="C20" s="9">
        <f ca="1"/>
        <v>653.08499999999992</v>
      </c>
    </row>
  </sheetData>
  <conditionalFormatting sqref="C16:C20">
    <cfRule type="dataBar" priority="1">
      <dataBar>
        <cfvo type="min"/>
        <cfvo type="max"/>
        <color rgb="FF638EC6"/>
      </dataBar>
      <extLst>
        <ext xmlns:x14="http://schemas.microsoft.com/office/spreadsheetml/2009/9/main" uri="{B025F937-C7B1-47D3-B67F-A62EFF666E3E}">
          <x14:id>{E9969F80-4595-9C43-B010-A0ACC7DC6298}</x14:id>
        </ext>
      </extLst>
    </cfRule>
  </conditionalFormatting>
  <conditionalFormatting sqref="G6:G12">
    <cfRule type="dataBar" priority="3">
      <dataBar>
        <cfvo type="min"/>
        <cfvo type="max"/>
        <color rgb="FF638EC6"/>
      </dataBar>
      <extLst>
        <ext xmlns:x14="http://schemas.microsoft.com/office/spreadsheetml/2009/9/main" uri="{B025F937-C7B1-47D3-B67F-A62EFF666E3E}">
          <x14:id>{54D51DE3-8D16-9549-B6A7-3F87F7BE53B7}</x14:id>
        </ext>
      </extLst>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dataBar" id="{E9969F80-4595-9C43-B010-A0ACC7DC6298}">
            <x14:dataBar minLength="0" maxLength="100" border="1" negativeBarBorderColorSameAsPositive="0">
              <x14:cfvo type="autoMin"/>
              <x14:cfvo type="autoMax"/>
              <x14:borderColor rgb="FF638EC6"/>
              <x14:negativeFillColor rgb="FFFF0000"/>
              <x14:negativeBorderColor rgb="FFFF0000"/>
              <x14:axisColor rgb="FF000000"/>
            </x14:dataBar>
          </x14:cfRule>
          <xm:sqref>C16:C20</xm:sqref>
        </x14:conditionalFormatting>
        <x14:conditionalFormatting xmlns:xm="http://schemas.microsoft.com/office/excel/2006/main">
          <x14:cfRule type="dataBar" id="{54D51DE3-8D16-9549-B6A7-3F87F7BE53B7}">
            <x14:dataBar minLength="0" maxLength="100" border="1" negativeBarBorderColorSameAsPositive="0">
              <x14:cfvo type="autoMin"/>
              <x14:cfvo type="autoMax"/>
              <x14:borderColor rgb="FF638EC6"/>
              <x14:negativeFillColor rgb="FFFF0000"/>
              <x14:negativeBorderColor rgb="FFFF0000"/>
              <x14:axisColor theme="7" tint="0.39997558519241921"/>
            </x14:dataBar>
          </x14:cfRule>
          <xm:sqref>G6:G12</xm:sqref>
        </x14:conditionalFormatting>
        <x14:conditionalFormatting xmlns:xm="http://schemas.microsoft.com/office/excel/2006/main">
          <x14:cfRule type="iconSet" priority="6" id="{410AB342-00C4-7749-BF9A-0B61C0F1D2BA}">
            <x14:iconSet iconSet="3Triangles" custom="1">
              <x14:cfvo type="percent">
                <xm:f>0</xm:f>
              </x14:cfvo>
              <x14:cfvo type="num">
                <xm:f>0</xm:f>
              </x14:cfvo>
              <x14:cfvo type="num" gte="0">
                <xm:f>0</xm:f>
              </x14:cfvo>
              <x14:cfIcon iconSet="3Triangles" iconId="0"/>
              <x14:cfIcon iconSet="3Triangles" iconId="1"/>
              <x14:cfIcon iconSet="3Triangles" iconId="2"/>
            </x14:iconSet>
          </x14:cfRule>
          <xm:sqref>I2</xm:sqref>
        </x14:conditionalFormatting>
        <x14:conditionalFormatting xmlns:xm="http://schemas.microsoft.com/office/excel/2006/main">
          <x14:cfRule type="iconSet" priority="5" id="{78842702-0906-4D42-A9E0-94E1F5E7C464}">
            <x14:iconSet iconSet="3Triangles" custom="1">
              <x14:cfvo type="percent">
                <xm:f>0</xm:f>
              </x14:cfvo>
              <x14:cfvo type="num">
                <xm:f>0</xm:f>
              </x14:cfvo>
              <x14:cfvo type="num">
                <xm:f>0</xm:f>
              </x14:cfvo>
              <x14:cfIcon iconSet="3Triangles" iconId="0"/>
              <x14:cfIcon iconSet="3Triangles" iconId="1"/>
              <x14:cfIcon iconSet="3Triangles" iconId="2"/>
            </x14:iconSet>
          </x14:cfRule>
          <xm:sqref>I6:I12</xm:sqref>
        </x14:conditionalFormatting>
      </x14:conditionalFormattings>
    </ext>
    <ext xmlns:x14="http://schemas.microsoft.com/office/spreadsheetml/2009/9/main" uri="{05C60535-1F16-4fd2-B633-F4F36F0B64E0}">
      <x14:sparklineGroups xmlns:xm="http://schemas.microsoft.com/office/excel/2006/main">
        <x14:sparklineGroup lineWeight="1" displayEmptyCellsAs="gap" xr2:uid="{5E843A5A-7442-0E40-BD15-680AF6012DA0}">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Dashboard!M6:JF6</xm:f>
              <xm:sqref>K6</xm:sqref>
            </x14:sparkline>
            <x14:sparkline>
              <xm:f>Dashboard!M7:JF7</xm:f>
              <xm:sqref>K7</xm:sqref>
            </x14:sparkline>
            <x14:sparkline>
              <xm:f>Dashboard!M8:JF8</xm:f>
              <xm:sqref>K8</xm:sqref>
            </x14:sparkline>
            <x14:sparkline>
              <xm:f>Dashboard!M9:JF9</xm:f>
              <xm:sqref>K9</xm:sqref>
            </x14:sparkline>
            <x14:sparkline>
              <xm:f>Dashboard!M10:JF10</xm:f>
              <xm:sqref>K10</xm:sqref>
            </x14:sparkline>
            <x14:sparkline>
              <xm:f>Dashboard!M11:JF11</xm:f>
              <xm:sqref>K11</xm:sqref>
            </x14:sparkline>
            <x14:sparkline>
              <xm:f>Dashboard!M12:JF12</xm:f>
              <xm:sqref>K12</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4EA0-60CF-6E4E-AB2E-98D6775095B0}">
  <dimension ref="A2:L26"/>
  <sheetViews>
    <sheetView showGridLines="0" tabSelected="1" zoomScale="101" workbookViewId="0">
      <selection activeCell="H26" sqref="H26"/>
    </sheetView>
  </sheetViews>
  <sheetFormatPr baseColWidth="10" defaultRowHeight="16" x14ac:dyDescent="0.2"/>
  <cols>
    <col min="2" max="2" width="48.5" bestFit="1" customWidth="1"/>
    <col min="3" max="3" width="13.1640625" customWidth="1"/>
    <col min="5" max="5" width="10.83203125" customWidth="1"/>
    <col min="6" max="7" width="11" customWidth="1"/>
    <col min="8" max="8" width="20" customWidth="1"/>
  </cols>
  <sheetData>
    <row r="2" spans="1:12" ht="17" thickBot="1" x14ac:dyDescent="0.25"/>
    <row r="3" spans="1:12" x14ac:dyDescent="0.2">
      <c r="A3" t="s">
        <v>0</v>
      </c>
      <c r="B3" t="s">
        <v>1</v>
      </c>
      <c r="C3" t="s">
        <v>2</v>
      </c>
      <c r="D3" t="s">
        <v>3</v>
      </c>
      <c r="E3" t="s">
        <v>4</v>
      </c>
      <c r="F3" t="s">
        <v>5</v>
      </c>
      <c r="G3" t="s">
        <v>23</v>
      </c>
      <c r="H3" t="s">
        <v>6</v>
      </c>
      <c r="I3" t="s">
        <v>11</v>
      </c>
      <c r="K3" s="22" t="e" vm="1">
        <v>#VALUE!</v>
      </c>
      <c r="L3" s="23" cm="1">
        <f t="array" aca="1" ref="L3" ca="1">_FV(K3,"Prix")</f>
        <v>1.1565000000000001</v>
      </c>
    </row>
    <row r="4" spans="1:12" ht="17" thickBot="1" x14ac:dyDescent="0.25">
      <c r="A4" s="3">
        <f>DATE(2025,1,28)</f>
        <v>45685</v>
      </c>
      <c r="B4" t="e" vm="978">
        <v>#VALUE!</v>
      </c>
      <c r="C4" t="s">
        <v>7</v>
      </c>
      <c r="D4">
        <v>0.25</v>
      </c>
      <c r="E4">
        <v>119.64</v>
      </c>
      <c r="F4" t="s">
        <v>9</v>
      </c>
      <c r="G4">
        <f t="shared" ref="G4:G10" si="0">IF(F4="EUR",1,$K$4)</f>
        <v>1</v>
      </c>
      <c r="H4">
        <v>31</v>
      </c>
      <c r="I4" t="str" cm="1">
        <f t="array" aca="1" ref="I4" ca="1">_FV(Ledger[ [#This Row],[Stock] ],"Code mnémonique",TRUE)</f>
        <v>NVDA</v>
      </c>
      <c r="K4" s="24">
        <f ca="1">1/L3</f>
        <v>0.86467790747946383</v>
      </c>
      <c r="L4" s="25"/>
    </row>
    <row r="5" spans="1:12" x14ac:dyDescent="0.2">
      <c r="A5" s="3">
        <f>DATE(2025,2,3)</f>
        <v>45691</v>
      </c>
      <c r="B5" t="e" vm="728">
        <v>#VALUE!</v>
      </c>
      <c r="C5" t="s">
        <v>7</v>
      </c>
      <c r="D5">
        <v>7.0000000000000007E-2</v>
      </c>
      <c r="E5">
        <v>616.14</v>
      </c>
      <c r="F5" t="s">
        <v>9</v>
      </c>
      <c r="G5">
        <f t="shared" si="0"/>
        <v>1</v>
      </c>
      <c r="H5">
        <v>50</v>
      </c>
      <c r="I5" t="str" cm="1">
        <f t="array" aca="1" ref="I5" ca="1">_FV(Ledger[ [#This Row],[Stock] ],"Code mnémonique",TRUE)</f>
        <v>SXR8</v>
      </c>
    </row>
    <row r="6" spans="1:12" x14ac:dyDescent="0.2">
      <c r="A6" s="3">
        <f>DATE(2025,2,3)</f>
        <v>45691</v>
      </c>
      <c r="B6" t="e" vm="251">
        <v>#VALUE!</v>
      </c>
      <c r="C6" t="s">
        <v>7</v>
      </c>
      <c r="D6">
        <v>0.21</v>
      </c>
      <c r="E6">
        <v>227.1</v>
      </c>
      <c r="F6" t="s">
        <v>9</v>
      </c>
      <c r="G6">
        <f t="shared" si="0"/>
        <v>1</v>
      </c>
      <c r="H6">
        <v>50</v>
      </c>
      <c r="I6" t="str" cm="1">
        <f t="array" aca="1" ref="I6" ca="1">_FV(Ledger[ [#This Row],[Stock] ],"Code mnémonique",TRUE)</f>
        <v>AMZN</v>
      </c>
    </row>
    <row r="7" spans="1:12" x14ac:dyDescent="0.2">
      <c r="A7" s="3">
        <f>DATE(2025,2,4)</f>
        <v>45692</v>
      </c>
      <c r="B7" t="e" vm="978">
        <v>#VALUE!</v>
      </c>
      <c r="C7" t="s">
        <v>7</v>
      </c>
      <c r="D7">
        <v>0.42</v>
      </c>
      <c r="E7">
        <v>113.64</v>
      </c>
      <c r="F7" t="s">
        <v>9</v>
      </c>
      <c r="G7">
        <f t="shared" si="0"/>
        <v>1</v>
      </c>
      <c r="H7">
        <v>49.01</v>
      </c>
      <c r="I7" t="str" cm="1">
        <f t="array" aca="1" ref="I7" ca="1">_FV(Ledger[ [#This Row],[Stock] ],"Code mnémonique",TRUE)</f>
        <v>NVDA</v>
      </c>
    </row>
    <row r="8" spans="1:12" x14ac:dyDescent="0.2">
      <c r="A8" s="3">
        <f>DATE(2025,2,6)</f>
        <v>45694</v>
      </c>
      <c r="B8" t="e" vm="1454">
        <v>#VALUE!</v>
      </c>
      <c r="C8" t="s">
        <v>7</v>
      </c>
      <c r="D8">
        <v>0.27</v>
      </c>
      <c r="E8">
        <v>182.98</v>
      </c>
      <c r="F8" t="s">
        <v>9</v>
      </c>
      <c r="G8">
        <f t="shared" si="0"/>
        <v>1</v>
      </c>
      <c r="H8">
        <v>50</v>
      </c>
      <c r="I8" t="str" cm="1">
        <f t="array" aca="1" ref="I8" ca="1">_FV(Ledger[ [#This Row],[Stock] ],"Code mnémonique",TRUE)</f>
        <v>TTWO</v>
      </c>
    </row>
    <row r="9" spans="1:12" x14ac:dyDescent="0.2">
      <c r="A9" s="3">
        <f>DATE(2025,2,6)</f>
        <v>45694</v>
      </c>
      <c r="B9" t="e" vm="1454">
        <v>#VALUE!</v>
      </c>
      <c r="C9" t="s">
        <v>7</v>
      </c>
      <c r="D9">
        <v>0.63</v>
      </c>
      <c r="E9">
        <v>189.72</v>
      </c>
      <c r="F9" t="s">
        <v>9</v>
      </c>
      <c r="G9">
        <f t="shared" si="0"/>
        <v>1</v>
      </c>
      <c r="H9">
        <v>121</v>
      </c>
      <c r="I9" t="str" cm="1">
        <f t="array" aca="1" ref="I9" ca="1">_FV(Ledger[ [#This Row],[Stock] ],"Code mnémonique",TRUE)</f>
        <v>TTWO</v>
      </c>
    </row>
    <row r="10" spans="1:12" x14ac:dyDescent="0.2">
      <c r="A10" s="3">
        <f>DATE(2025,2,17)</f>
        <v>45705</v>
      </c>
      <c r="B10" t="e" vm="1687">
        <v>#VALUE!</v>
      </c>
      <c r="C10" t="s">
        <v>7</v>
      </c>
      <c r="D10">
        <v>5</v>
      </c>
      <c r="E10">
        <v>5.53</v>
      </c>
      <c r="F10" t="s">
        <v>9</v>
      </c>
      <c r="G10">
        <f t="shared" si="0"/>
        <v>1</v>
      </c>
      <c r="H10">
        <v>28.65</v>
      </c>
      <c r="I10" t="str" cm="1">
        <f t="array" aca="1" ref="I10" ca="1">_FV(Ledger[ [#This Row],[Stock] ],"Code mnémonique",TRUE)</f>
        <v>3CP</v>
      </c>
    </row>
    <row r="11" spans="1:12" x14ac:dyDescent="0.2">
      <c r="A11" s="3">
        <f>DATE(2025,3,5)</f>
        <v>45721</v>
      </c>
      <c r="B11" t="e" vm="1454">
        <v>#VALUE!</v>
      </c>
      <c r="C11" t="s">
        <v>7</v>
      </c>
      <c r="D11">
        <v>0.5</v>
      </c>
      <c r="E11">
        <v>197.58</v>
      </c>
      <c r="F11" t="s">
        <v>9</v>
      </c>
      <c r="G11">
        <f t="shared" ref="G11:G23" si="1">IF(F11="EUR",1,$K$4)</f>
        <v>1</v>
      </c>
      <c r="H11">
        <v>100</v>
      </c>
      <c r="I11" t="str" cm="1">
        <f t="array" aca="1" ref="I11" ca="1">_FV(Ledger[ [#This Row],[Stock] ],"Code mnémonique",TRUE)</f>
        <v>TTWO</v>
      </c>
    </row>
    <row r="12" spans="1:12" x14ac:dyDescent="0.2">
      <c r="A12" s="3">
        <f>DATE(2025,3,5)</f>
        <v>45721</v>
      </c>
      <c r="B12" t="e" vm="728">
        <v>#VALUE!</v>
      </c>
      <c r="C12" t="s">
        <v>7</v>
      </c>
      <c r="D12">
        <v>0.08</v>
      </c>
      <c r="E12">
        <v>578.1</v>
      </c>
      <c r="F12" t="s">
        <v>9</v>
      </c>
      <c r="G12">
        <f t="shared" si="1"/>
        <v>1</v>
      </c>
      <c r="H12">
        <v>52</v>
      </c>
      <c r="I12" t="str" cm="1">
        <f t="array" aca="1" ref="I12" ca="1">_FV(Ledger[ [#This Row],[Stock] ],"Code mnémonique",TRUE)</f>
        <v>SXR8</v>
      </c>
    </row>
    <row r="13" spans="1:12" x14ac:dyDescent="0.2">
      <c r="A13" s="3">
        <f>DATE(2025,4,7)</f>
        <v>45754</v>
      </c>
      <c r="B13" t="e" vm="497">
        <v>#VALUE!</v>
      </c>
      <c r="C13" t="s">
        <v>7</v>
      </c>
      <c r="D13">
        <v>1</v>
      </c>
      <c r="E13">
        <v>65.900000000000006</v>
      </c>
      <c r="F13" t="s">
        <v>9</v>
      </c>
      <c r="G13">
        <f t="shared" si="1"/>
        <v>1</v>
      </c>
      <c r="H13">
        <v>67.16</v>
      </c>
      <c r="I13" t="str" cm="1">
        <f t="array" aca="1" ref="I13" ca="1">_FV(Ledger[ [#This Row],[Stock] ],"Code mnémonique",TRUE)</f>
        <v>BNP</v>
      </c>
    </row>
    <row r="14" spans="1:12" x14ac:dyDescent="0.2">
      <c r="A14" s="3">
        <f>DATE(2025,4,7)</f>
        <v>45754</v>
      </c>
      <c r="B14" t="e" vm="1687">
        <v>#VALUE!</v>
      </c>
      <c r="C14" t="s">
        <v>7</v>
      </c>
      <c r="D14">
        <v>2</v>
      </c>
      <c r="E14">
        <v>4.41</v>
      </c>
      <c r="F14" t="s">
        <v>9</v>
      </c>
      <c r="G14">
        <f t="shared" si="1"/>
        <v>1</v>
      </c>
      <c r="H14">
        <v>9.83</v>
      </c>
      <c r="I14" t="str" cm="1">
        <f t="array" aca="1" ref="I14" ca="1">_FV(Ledger[ [#This Row],[Stock] ],"Code mnémonique",TRUE)</f>
        <v>3CP</v>
      </c>
    </row>
    <row r="15" spans="1:12" x14ac:dyDescent="0.2">
      <c r="A15" s="3">
        <f>DATE(2025,4,17)</f>
        <v>45764</v>
      </c>
      <c r="B15" t="e" vm="1688">
        <v>#VALUE!</v>
      </c>
      <c r="C15" t="s">
        <v>7</v>
      </c>
      <c r="D15">
        <v>0.35</v>
      </c>
      <c r="E15">
        <v>56.82</v>
      </c>
      <c r="F15" t="s">
        <v>9</v>
      </c>
      <c r="G15">
        <f t="shared" si="1"/>
        <v>1</v>
      </c>
      <c r="H15">
        <v>21</v>
      </c>
      <c r="I15" t="str" cm="1">
        <f t="array" aca="1" ref="I15" ca="1">_FV(Ledger[ [#This Row],[Stock] ],"Code mnémonique",TRUE)</f>
        <v>PPFB</v>
      </c>
    </row>
    <row r="16" spans="1:12" x14ac:dyDescent="0.2">
      <c r="A16" s="3">
        <f t="shared" ref="A16:A18" si="2">DATE(2025,7,15)</f>
        <v>45853</v>
      </c>
      <c r="B16" t="e" vm="1687">
        <v>#VALUE!</v>
      </c>
      <c r="C16" t="s">
        <v>8</v>
      </c>
      <c r="D16">
        <v>-7</v>
      </c>
      <c r="E16">
        <v>6.2</v>
      </c>
      <c r="F16" t="s">
        <v>9</v>
      </c>
      <c r="G16">
        <f t="shared" si="1"/>
        <v>1</v>
      </c>
      <c r="H16">
        <f>-42.42</f>
        <v>-42.42</v>
      </c>
      <c r="I16" t="str" cm="1">
        <f t="array" aca="1" ref="I16" ca="1">_FV(Ledger[ [#This Row],[Stock] ],"Code mnémonique",TRUE)</f>
        <v>3CP</v>
      </c>
    </row>
    <row r="17" spans="1:9" x14ac:dyDescent="0.2">
      <c r="A17" s="3">
        <f t="shared" si="2"/>
        <v>45853</v>
      </c>
      <c r="B17" t="e" vm="978">
        <v>#VALUE!</v>
      </c>
      <c r="C17" t="s">
        <v>8</v>
      </c>
      <c r="D17">
        <v>-0.67</v>
      </c>
      <c r="E17">
        <v>145.80000000000001</v>
      </c>
      <c r="F17" t="s">
        <v>9</v>
      </c>
      <c r="G17">
        <f t="shared" si="1"/>
        <v>1</v>
      </c>
      <c r="H17">
        <v>-97.15</v>
      </c>
      <c r="I17" t="str" cm="1">
        <f t="array" aca="1" ref="I17" ca="1">_FV(Ledger[ [#This Row],[Stock] ],"Code mnémonique",TRUE)</f>
        <v>NVDA</v>
      </c>
    </row>
    <row r="18" spans="1:9" x14ac:dyDescent="0.2">
      <c r="A18" s="3">
        <f t="shared" si="2"/>
        <v>45853</v>
      </c>
      <c r="B18" t="e" vm="978">
        <v>#VALUE!</v>
      </c>
      <c r="C18" t="s">
        <v>7</v>
      </c>
      <c r="D18">
        <v>1</v>
      </c>
      <c r="E18">
        <v>169.9</v>
      </c>
      <c r="F18" t="s">
        <v>10</v>
      </c>
      <c r="G18">
        <f t="shared" ca="1" si="1"/>
        <v>0.86467790747946383</v>
      </c>
      <c r="H18">
        <v>169.9</v>
      </c>
      <c r="I18" t="str" cm="1">
        <f t="array" aca="1" ref="I18" ca="1">_FV(Ledger[ [#This Row],[Stock] ],"Code mnémonique",TRUE)</f>
        <v>NVDA</v>
      </c>
    </row>
    <row r="19" spans="1:9" x14ac:dyDescent="0.2">
      <c r="A19" s="3">
        <f>DATE(2025,7,16)</f>
        <v>45854</v>
      </c>
      <c r="B19" t="e" vm="1223">
        <v>#VALUE!</v>
      </c>
      <c r="C19" t="s">
        <v>7</v>
      </c>
      <c r="D19">
        <v>1</v>
      </c>
      <c r="E19">
        <v>192.95</v>
      </c>
      <c r="F19" t="s">
        <v>10</v>
      </c>
      <c r="G19">
        <f t="shared" ca="1" si="1"/>
        <v>0.86467790747946383</v>
      </c>
      <c r="H19">
        <v>192.95</v>
      </c>
      <c r="I19" t="str" cm="1">
        <f t="array" aca="1" ref="I19" ca="1">_FV(Ledger[ [#This Row],[Stock] ],"Code mnémonique",TRUE)</f>
        <v>PANW</v>
      </c>
    </row>
    <row r="20" spans="1:9" x14ac:dyDescent="0.2">
      <c r="A20" s="3">
        <f>DATE(2025,9,1)</f>
        <v>45901</v>
      </c>
      <c r="B20" t="e" vm="728">
        <v>#VALUE!</v>
      </c>
      <c r="C20" t="s">
        <v>7</v>
      </c>
      <c r="D20">
        <v>0.27</v>
      </c>
      <c r="E20">
        <v>589.08000000000004</v>
      </c>
      <c r="F20" t="s">
        <v>10</v>
      </c>
      <c r="G20">
        <f t="shared" ca="1" si="1"/>
        <v>0.86467790747946383</v>
      </c>
      <c r="H20">
        <v>159.99</v>
      </c>
      <c r="I20" t="str" cm="1">
        <f t="array" aca="1" ref="I20" ca="1">_FV(Ledger[ [#This Row],[Stock] ],"Code mnémonique",TRUE)</f>
        <v>SXR8</v>
      </c>
    </row>
    <row r="21" spans="1:9" x14ac:dyDescent="0.2">
      <c r="A21" s="3">
        <v>45936</v>
      </c>
      <c r="B21" t="e" vm="728">
        <v>#VALUE!</v>
      </c>
      <c r="C21" t="s">
        <v>7</v>
      </c>
      <c r="D21">
        <v>0.15</v>
      </c>
      <c r="E21">
        <v>617.28</v>
      </c>
      <c r="F21" t="s">
        <v>10</v>
      </c>
      <c r="G21">
        <f t="shared" ca="1" si="1"/>
        <v>0.86467790747946383</v>
      </c>
      <c r="H21">
        <v>95</v>
      </c>
      <c r="I21" t="str" cm="1">
        <f t="array" aca="1" ref="I21" ca="1">_FV(Ledger[ [#This Row],[Stock] ],"Code mnémonique",TRUE)</f>
        <v>SXR8</v>
      </c>
    </row>
    <row r="22" spans="1:9" x14ac:dyDescent="0.2">
      <c r="A22" s="3">
        <f>DATE(2025,11,4)</f>
        <v>45965</v>
      </c>
      <c r="B22" t="e" vm="1454">
        <v>#VALUE!</v>
      </c>
      <c r="C22" t="s">
        <v>7</v>
      </c>
      <c r="D22">
        <v>0.03</v>
      </c>
      <c r="E22">
        <v>221.05</v>
      </c>
      <c r="F22" t="s">
        <v>9</v>
      </c>
      <c r="G22">
        <f t="shared" si="1"/>
        <v>1</v>
      </c>
      <c r="H22">
        <v>9.0299999999999994</v>
      </c>
      <c r="I22" t="str" cm="1">
        <f t="array" aca="1" ref="I22" ca="1">_FV(Ledger[ [#This Row],[Stock] ],"Code mnémonique",TRUE)</f>
        <v>TTWO</v>
      </c>
    </row>
    <row r="23" spans="1:9" x14ac:dyDescent="0.2">
      <c r="A23" s="3">
        <f>DATE(2025,11,6)</f>
        <v>45967</v>
      </c>
      <c r="B23" t="e" vm="728">
        <v>#VALUE!</v>
      </c>
      <c r="C23" t="s">
        <v>7</v>
      </c>
      <c r="D23">
        <v>0.15</v>
      </c>
      <c r="E23">
        <v>631.78</v>
      </c>
      <c r="F23" t="s">
        <v>10</v>
      </c>
      <c r="G23">
        <f t="shared" ca="1" si="1"/>
        <v>0.86467790747946383</v>
      </c>
      <c r="H23">
        <v>99.95</v>
      </c>
      <c r="I23" t="str" cm="1">
        <f t="array" aca="1" ref="I23" ca="1">_FV(Ledger[ [#This Row],[Stock] ],"Code mnémonique",TRUE)</f>
        <v>SXR8</v>
      </c>
    </row>
    <row r="24" spans="1:9" x14ac:dyDescent="0.2">
      <c r="A24" s="3">
        <f>DATE(2025,11,10)</f>
        <v>45971</v>
      </c>
      <c r="B24" t="e" vm="1688">
        <v>#VALUE!</v>
      </c>
      <c r="C24" t="s">
        <v>8</v>
      </c>
      <c r="D24">
        <v>-0.35</v>
      </c>
      <c r="E24">
        <v>68.84</v>
      </c>
      <c r="F24" t="s">
        <v>9</v>
      </c>
      <c r="G24">
        <f>IF(F24="EUR",1,$K$4)</f>
        <v>1</v>
      </c>
      <c r="H24">
        <v>-23.23</v>
      </c>
      <c r="I24" t="str" cm="1">
        <f t="array" aca="1" ref="I24" ca="1">_FV(Ledger[ [#This Row],[Stock] ],"Code mnémonique",TRUE)</f>
        <v>PPFB</v>
      </c>
    </row>
    <row r="25" spans="1:9" x14ac:dyDescent="0.2">
      <c r="A25" s="3">
        <f>DATE(2025,11,10)</f>
        <v>45971</v>
      </c>
      <c r="B25" t="e" vm="1454">
        <v>#VALUE!</v>
      </c>
      <c r="C25" t="s">
        <v>7</v>
      </c>
      <c r="D25">
        <v>0.47</v>
      </c>
      <c r="E25">
        <v>203.75</v>
      </c>
      <c r="F25" t="s">
        <v>9</v>
      </c>
      <c r="G25">
        <f>IF(F25="EUR",1,$K$4)</f>
        <v>1</v>
      </c>
      <c r="H25">
        <v>98</v>
      </c>
      <c r="I25" t="str" cm="1">
        <f t="array" aca="1" ref="I25" ca="1">_FV(Ledger[ [#This Row],[Stock] ],"Code mnémonique",TRUE)</f>
        <v>TTWO</v>
      </c>
    </row>
    <row r="26" spans="1:9" x14ac:dyDescent="0.2">
      <c r="A26" s="3"/>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Dashboard</vt:lpstr>
      <vt:lpstr>Ledger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BOILLOT Karma</dc:creator>
  <cp:lastModifiedBy>BOILLOT Karma</cp:lastModifiedBy>
  <dcterms:created xsi:type="dcterms:W3CDTF">2025-11-09T16:12:08Z</dcterms:created>
  <dcterms:modified xsi:type="dcterms:W3CDTF">2025-11-10T14:28:28Z</dcterms:modified>
</cp:coreProperties>
</file>